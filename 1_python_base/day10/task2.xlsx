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ibberzz/PycharmProjects/python-ai-class/day10/"/>
    </mc:Choice>
  </mc:AlternateContent>
  <xr:revisionPtr revIDLastSave="0" documentId="13_ncr:1_{42C87625-07A0-7B4C-BAE8-8F8EC6C12E08}" xr6:coauthVersionLast="47" xr6:coauthVersionMax="47" xr10:uidLastSave="{00000000-0000-0000-0000-000000000000}"/>
  <bookViews>
    <workbookView xWindow="0" yWindow="780" windowWidth="34200" windowHeight="20360" activeTab="1" xr2:uid="{00000000-000D-0000-FFFF-FFFF00000000}"/>
  </bookViews>
  <sheets>
    <sheet name="README" sheetId="1" r:id="rId1"/>
    <sheet name="RESULT" sheetId="8" r:id="rId2"/>
    <sheet name="users" sheetId="2" r:id="rId3"/>
    <sheet name="order_deatil" sheetId="3" r:id="rId4"/>
    <sheet name="users_clean" sheetId="4" r:id="rId5"/>
    <sheet name="order_detail_clean" sheetId="5" r:id="rId6"/>
    <sheet name="order_user_detail" sheetId="6" r:id="rId7"/>
    <sheet name="pivot_reference" sheetId="7" r:id="rId8"/>
  </sheets>
  <definedNames>
    <definedName name="切片器_addr_clean">#N/A</definedName>
    <definedName name="切片器_name">#N/A</definedName>
    <definedName name="切片器_sex_clean">#N/A</definedName>
    <definedName name="切片器_weekday">#N/A</definedName>
  </definedNames>
  <calcPr calcId="0"/>
  <pivotCaches>
    <pivotCache cacheId="9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<sst xmlns="http://schemas.openxmlformats.org/spreadsheetml/2006/main" count="434" uniqueCount="102">
  <si>
    <t>方案 B：Python 生成透视图底表，Excel 手动创建原生透视图和切片器</t>
  </si>
  <si>
    <t>已由脚本完成</t>
  </si>
  <si>
    <t>1. 导入 users.csv 和 order_deatil.csv。</t>
  </si>
  <si>
    <t>2. 删除空行和重复行。</t>
  </si>
  <si>
    <t>3. 给 order_deatil 增加 weekday（星期几）和 year。</t>
  </si>
  <si>
    <t>4. 用 order_deatil.user_id 关联 users.id。</t>
  </si>
  <si>
    <t>5. users.age 为空时，用当前 age 列中位数填充。</t>
  </si>
  <si>
    <t>6. 增加 order_amount = count * unit_price，表示订单总金额。</t>
  </si>
  <si>
    <t>接下来在 Excel 中手动完成</t>
  </si>
  <si>
    <t>1. 进入 order_user_detail 工作表，确认表格名称是 OrderUserDetail。</t>
  </si>
  <si>
    <t>2. 插入 -&gt; 数据透视表，数据源选择 OrderUserDetail。</t>
  </si>
  <si>
    <t>3. 建 4 个透视表和 4 张透视图：</t>
  </si>
  <si>
    <t xml:space="preserve">   A. 行字段 weekday，值字段 order_amount 求和，标题：探究星期几消费者购买能力最强。</t>
  </si>
  <si>
    <t xml:space="preserve">   B. 行字段 sex_clean，值字段 order_amount 求和，标题：汇总。</t>
  </si>
  <si>
    <t xml:space="preserve">   C. 行字段 addr_clean，值字段 order_amount 求和，标题：城市维度销售情况。</t>
  </si>
  <si>
    <t xml:space="preserve">   D. 行字段 name，值字段 order_amount 求和，按金额降序，标题：客户购买力分析。</t>
  </si>
  <si>
    <t>4. 插入切片器，字段选择 weekday、addr_clean、name、sex_clean。</t>
  </si>
  <si>
    <t>5. 通过切片器的“报表连接/数据透视表连接”，把每个切片器连接到 4 个透视表。</t>
  </si>
  <si>
    <t>说明</t>
  </si>
  <si>
    <t>openpyxl 可以生成 xlsx、表格和普通图表，但不能生成 Excel 原生切片器和数据透视表连接。</t>
  </si>
  <si>
    <t>所以这个文件保留最关键的干净底表，原生切片器部分需要在 Excel 里完成；如果 Mac 版 Excel 找不到报表连接，建议用 Windows 版 Excel 完成最后一步。</t>
  </si>
  <si>
    <t>id</t>
  </si>
  <si>
    <t>name</t>
  </si>
  <si>
    <t>addr</t>
  </si>
  <si>
    <t>age</t>
  </si>
  <si>
    <t>sex</t>
  </si>
  <si>
    <t>李雷</t>
  </si>
  <si>
    <t>北京市</t>
  </si>
  <si>
    <t>男</t>
  </si>
  <si>
    <t>韩梅梅</t>
  </si>
  <si>
    <t>广州</t>
  </si>
  <si>
    <t>女</t>
  </si>
  <si>
    <t>杜雷</t>
  </si>
  <si>
    <t>深圳</t>
  </si>
  <si>
    <t>男性</t>
  </si>
  <si>
    <t>马腾</t>
  </si>
  <si>
    <t>深圳市</t>
  </si>
  <si>
    <t>赵雷</t>
  </si>
  <si>
    <t>成都</t>
  </si>
  <si>
    <t>小明名</t>
  </si>
  <si>
    <t>重庆市</t>
  </si>
  <si>
    <t>小哈</t>
  </si>
  <si>
    <t>天津</t>
  </si>
  <si>
    <t>女性</t>
  </si>
  <si>
    <t>小呵</t>
  </si>
  <si>
    <t>广州市</t>
  </si>
  <si>
    <t>小嘿</t>
  </si>
  <si>
    <t>天津市</t>
  </si>
  <si>
    <t>小嘻</t>
  </si>
  <si>
    <t>date</t>
  </si>
  <si>
    <t>user_id</t>
  </si>
  <si>
    <t>count</t>
  </si>
  <si>
    <t>unit_price</t>
  </si>
  <si>
    <t>desc</t>
  </si>
  <si>
    <t>2012-12-11</t>
  </si>
  <si>
    <t>如遇缺货请及时联系</t>
  </si>
  <si>
    <t>2013-02-12</t>
  </si>
  <si>
    <t>2014-10-13</t>
  </si>
  <si>
    <t>一定要快哟!</t>
  </si>
  <si>
    <t>2015-12-14</t>
  </si>
  <si>
    <t>2016-07-15</t>
  </si>
  <si>
    <t>一定要新鲜哟!</t>
  </si>
  <si>
    <t>2017-09-16</t>
  </si>
  <si>
    <t>2018-10-17</t>
  </si>
  <si>
    <t>2012-10-18</t>
  </si>
  <si>
    <t>2013-10-19</t>
  </si>
  <si>
    <t>2014-10-20</t>
  </si>
  <si>
    <t>2014-10-21</t>
  </si>
  <si>
    <t>2012-10-22</t>
  </si>
  <si>
    <t>2013-10-23</t>
  </si>
  <si>
    <t>2015-10-24</t>
  </si>
  <si>
    <t>2013-10-25</t>
  </si>
  <si>
    <t>2014-10-26</t>
  </si>
  <si>
    <t>2016-10-27</t>
  </si>
  <si>
    <t>2017-10-28</t>
  </si>
  <si>
    <t>2018-10-29</t>
  </si>
  <si>
    <t>2018-10-30</t>
  </si>
  <si>
    <t>2015-10-31</t>
  </si>
  <si>
    <t>2018-11-01</t>
  </si>
  <si>
    <t>sex_clean</t>
  </si>
  <si>
    <t>addr_clean</t>
  </si>
  <si>
    <t>北京</t>
  </si>
  <si>
    <t>重庆</t>
  </si>
  <si>
    <t>order_amount</t>
  </si>
  <si>
    <t>weekday</t>
  </si>
  <si>
    <t>year</t>
  </si>
  <si>
    <t>星期二</t>
  </si>
  <si>
    <t>星期一</t>
  </si>
  <si>
    <t>星期五</t>
  </si>
  <si>
    <t>星期六</t>
  </si>
  <si>
    <t>星期三</t>
  </si>
  <si>
    <t>星期四</t>
  </si>
  <si>
    <t>星期日</t>
  </si>
  <si>
    <t>order_id</t>
  </si>
  <si>
    <t>星期</t>
  </si>
  <si>
    <t>订单总金额</t>
  </si>
  <si>
    <t>性别</t>
  </si>
  <si>
    <t>城市</t>
  </si>
  <si>
    <t>客户姓名</t>
  </si>
  <si>
    <t>行标签</t>
  </si>
  <si>
    <t>总计</t>
  </si>
  <si>
    <t>求和项:order_amount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</si>
</sst>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5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6"/>
      <name val="宋体"/>
      <charset val="134"/>
    </font>
    <font>
      <b/>
      <sz val="13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[power_query_test.xlsx]RESULT!数据透视表1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探究星期几消费者购买能力最强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RESULT!$A$4:$A$11</c:f>
              <c:strCache>
                <c:ptCount val="7"/>
                <c:pt idx="0">
                  <c:v>星期日</c:v>
                </c:pt>
                <c:pt idx="1">
                  <c:v>星期一</c:v>
                </c:pt>
                <c:pt idx="2">
                  <c:v>星期二</c:v>
                </c:pt>
                <c:pt idx="3">
                  <c:v>星期三</c:v>
                </c:pt>
                <c:pt idx="4">
                  <c:v>星期四</c:v>
                </c:pt>
                <c:pt idx="5">
                  <c:v>星期五</c:v>
                </c:pt>
                <c:pt idx="6">
                  <c:v>星期六</c:v>
                </c:pt>
              </c:strCache>
            </c:strRef>
          </c:cat>
          <c:val>
            <c:numRef>
              <c:f>RESULT!$B$4:$B$11</c:f>
              <c:numCache>
                <c:formatCode>General</c:formatCode>
                <c:ptCount val="7"/>
                <c:pt idx="0">
                  <c:v>4401</c:v>
                </c:pt>
                <c:pt idx="1">
                  <c:v>13111.5</c:v>
                </c:pt>
                <c:pt idx="2">
                  <c:v>8997.2000000000007</c:v>
                </c:pt>
                <c:pt idx="3">
                  <c:v>3123.4</c:v>
                </c:pt>
                <c:pt idx="4">
                  <c:v>10265.4</c:v>
                </c:pt>
                <c:pt idx="5">
                  <c:v>3411</c:v>
                </c:pt>
                <c:pt idx="6">
                  <c:v>18440.900000000001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2-4044-8308-E911B44D7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982143"/>
        <c:axId val="2002981695"/>
      </c:barChart>
      <c:catAx>
        <c:axId val="200298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981695"/>
        <c:crosses val="autoZero"/>
        <c:auto val="1"/>
        <c:lblAlgn val="ctr"/>
        <c:lblOffset val="100"/>
        <c:noMultiLvlLbl val="0"/>
      </c:catAx>
      <c:valAx>
        <c:axId val="200298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298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[power_query_test.xlsx]RESULT!数据透视表2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RESULT!$B$18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RESULT!$A$19:$A$21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RESULT!$B$19:$B$21</c:f>
              <c:numCache>
                <c:formatCode>General</c:formatCode>
                <c:ptCount val="2"/>
                <c:pt idx="0">
                  <c:v>17785</c:v>
                </c:pt>
                <c:pt idx="1">
                  <c:v>43965.4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C-8346-94DD-AE720435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583551"/>
        <c:axId val="2062583999"/>
      </c:barChart>
      <c:catAx>
        <c:axId val="206258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2583999"/>
        <c:crosses val="autoZero"/>
        <c:auto val="1"/>
        <c:lblAlgn val="ctr"/>
        <c:lblOffset val="100"/>
        <c:noMultiLvlLbl val="0"/>
      </c:catAx>
      <c:valAx>
        <c:axId val="206258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258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[power_query_test.xlsx]RESULT!数据透视表3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城市维度销售情况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RESULT!$B$25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RESULT!$A$26:$A$32</c:f>
              <c:strCache>
                <c:ptCount val="6"/>
                <c:pt idx="0">
                  <c:v>北京</c:v>
                </c:pt>
                <c:pt idx="1">
                  <c:v>成都</c:v>
                </c:pt>
                <c:pt idx="2">
                  <c:v>广州</c:v>
                </c:pt>
                <c:pt idx="3">
                  <c:v>深圳</c:v>
                </c:pt>
                <c:pt idx="4">
                  <c:v>天津</c:v>
                </c:pt>
                <c:pt idx="5">
                  <c:v>重庆</c:v>
                </c:pt>
              </c:strCache>
            </c:strRef>
          </c:cat>
          <c:val>
            <c:numRef>
              <c:f>RESULT!$B$26:$B$32</c:f>
              <c:numCache>
                <c:formatCode>General</c:formatCode>
                <c:ptCount val="6"/>
                <c:pt idx="0">
                  <c:v>13504.4</c:v>
                </c:pt>
                <c:pt idx="1">
                  <c:v>4612</c:v>
                </c:pt>
                <c:pt idx="2">
                  <c:v>2504.1</c:v>
                </c:pt>
                <c:pt idx="3">
                  <c:v>11347</c:v>
                </c:pt>
                <c:pt idx="4">
                  <c:v>22036.5</c:v>
                </c:pt>
                <c:pt idx="5">
                  <c:v>7746.4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3-0346-903A-B717FD664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669439"/>
        <c:axId val="1840671231"/>
      </c:barChart>
      <c:catAx>
        <c:axId val="184066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671231"/>
        <c:crosses val="autoZero"/>
        <c:auto val="1"/>
        <c:lblAlgn val="ctr"/>
        <c:lblOffset val="100"/>
        <c:noMultiLvlLbl val="0"/>
      </c:catAx>
      <c:valAx>
        <c:axId val="184067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66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[power_query_test.xlsx]RESULT!数据透视表4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/>
              <a:t>客户购买力分析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RESULT!$B$36</c:f>
              <c:strCache>
                <c:ptCount val="1"/>
                <c:pt idx="0">
                  <c:v>汇总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RESULT!$A$37:$A$47</c:f>
              <c:strCache>
                <c:ptCount val="10"/>
                <c:pt idx="0">
                  <c:v>杜雷</c:v>
                </c:pt>
                <c:pt idx="1">
                  <c:v>韩梅梅</c:v>
                </c:pt>
                <c:pt idx="2">
                  <c:v>李雷</c:v>
                </c:pt>
                <c:pt idx="3">
                  <c:v>马腾</c:v>
                </c:pt>
                <c:pt idx="4">
                  <c:v>小哈</c:v>
                </c:pt>
                <c:pt idx="5">
                  <c:v>小呵</c:v>
                </c:pt>
                <c:pt idx="6">
                  <c:v>小嘿</c:v>
                </c:pt>
                <c:pt idx="7">
                  <c:v>小明名</c:v>
                </c:pt>
                <c:pt idx="8">
                  <c:v>小嘻</c:v>
                </c:pt>
                <c:pt idx="9">
                  <c:v>赵雷</c:v>
                </c:pt>
              </c:strCache>
            </c:strRef>
          </c:cat>
          <c:val>
            <c:numRef>
              <c:f>RESULT!$B$37:$B$47</c:f>
              <c:numCache>
                <c:formatCode>General</c:formatCode>
                <c:ptCount val="10"/>
                <c:pt idx="0">
                  <c:v>4384</c:v>
                </c:pt>
                <c:pt idx="1">
                  <c:v>541.20000000000005</c:v>
                </c:pt>
                <c:pt idx="2">
                  <c:v>1826</c:v>
                </c:pt>
                <c:pt idx="3">
                  <c:v>6963</c:v>
                </c:pt>
                <c:pt idx="4">
                  <c:v>20291</c:v>
                </c:pt>
                <c:pt idx="5">
                  <c:v>1962.9</c:v>
                </c:pt>
                <c:pt idx="6">
                  <c:v>1745.5</c:v>
                </c:pt>
                <c:pt idx="7">
                  <c:v>7746.4</c:v>
                </c:pt>
                <c:pt idx="8">
                  <c:v>11678.4</c:v>
                </c:pt>
                <c:pt idx="9">
                  <c:v>4612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1-DC4C-A605-3B88B5BF6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03215103"/>
        <c:axId val="1840661375"/>
      </c:barChart>
      <c:catAx>
        <c:axId val="200321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661375"/>
        <c:crosses val="autoZero"/>
        <c:auto val="1"/>
        <c:lblAlgn val="ctr"/>
        <c:lblOffset val="100"/>
        <c:noMultiLvlLbl val="0"/>
      </c:catAx>
      <c:valAx>
        <c:axId val="184066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21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2</xdr:row>
      <xdr:rowOff>0</xdr:rowOff>
    </xdr:from>
    <xdr:to>
      <xdr:col>8</xdr:col>
      <xdr:colOff>12700</xdr:colOff>
      <xdr:row>17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ADB030C-95B4-F897-675D-125A69FA9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393700</xdr:colOff>
      <xdr:row>2</xdr:row>
      <xdr:rowOff>0</xdr:rowOff>
    </xdr:from>
    <xdr:to>
      <xdr:col>14</xdr:col>
      <xdr:colOff>12700</xdr:colOff>
      <xdr:row>17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E6AF2F-72F8-896D-7E5A-EBB3302CF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381000</xdr:colOff>
      <xdr:row>19</xdr:row>
      <xdr:rowOff>139700</xdr:rowOff>
    </xdr:from>
    <xdr:to>
      <xdr:col>8</xdr:col>
      <xdr:colOff>0</xdr:colOff>
      <xdr:row>35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CC771F-FA24-1574-1349-561F1728D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558800</xdr:colOff>
      <xdr:row>2</xdr:row>
      <xdr:rowOff>12700</xdr:rowOff>
    </xdr:from>
    <xdr:to>
      <xdr:col>16</xdr:col>
      <xdr:colOff>736600</xdr:colOff>
      <xdr:row>14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weekday">
              <a:extLst>
                <a:ext uri="{FF2B5EF4-FFF2-40B4-BE49-F238E27FC236}">
                  <a16:creationId xmlns:a16="http://schemas.microsoft.com/office/drawing/2014/main" id="{F17B4B32-10E4-5006-D2BB-959A3D4840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ekd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76200" y="3683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571500</xdr:colOff>
      <xdr:row>15</xdr:row>
      <xdr:rowOff>139700</xdr:rowOff>
    </xdr:from>
    <xdr:to>
      <xdr:col>16</xdr:col>
      <xdr:colOff>749300</xdr:colOff>
      <xdr:row>28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name">
              <a:extLst>
                <a:ext uri="{FF2B5EF4-FFF2-40B4-BE49-F238E27FC236}">
                  <a16:creationId xmlns:a16="http://schemas.microsoft.com/office/drawing/2014/main" id="{021352A4-2728-DE6D-02A5-9C388DF004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88900" y="28067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266700</xdr:colOff>
      <xdr:row>2</xdr:row>
      <xdr:rowOff>0</xdr:rowOff>
    </xdr:from>
    <xdr:to>
      <xdr:col>19</xdr:col>
      <xdr:colOff>444500</xdr:colOff>
      <xdr:row>14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ex_clean">
              <a:extLst>
                <a:ext uri="{FF2B5EF4-FFF2-40B4-BE49-F238E27FC236}">
                  <a16:creationId xmlns:a16="http://schemas.microsoft.com/office/drawing/2014/main" id="{FAB2D761-A841-EE54-CD2B-B9D5901736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_cle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60600" y="355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279400</xdr:colOff>
      <xdr:row>15</xdr:row>
      <xdr:rowOff>139700</xdr:rowOff>
    </xdr:from>
    <xdr:to>
      <xdr:col>19</xdr:col>
      <xdr:colOff>457200</xdr:colOff>
      <xdr:row>28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addr_clean">
              <a:extLst>
                <a:ext uri="{FF2B5EF4-FFF2-40B4-BE49-F238E27FC236}">
                  <a16:creationId xmlns:a16="http://schemas.microsoft.com/office/drawing/2014/main" id="{90E1C0D6-9733-F074-4D27-14C94760EA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dr_cle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73300" y="28067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8</xdr:col>
      <xdr:colOff>381000</xdr:colOff>
      <xdr:row>19</xdr:row>
      <xdr:rowOff>114300</xdr:rowOff>
    </xdr:from>
    <xdr:to>
      <xdr:col>14</xdr:col>
      <xdr:colOff>0</xdr:colOff>
      <xdr:row>35</xdr:row>
      <xdr:rowOff>12700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B818715-59CB-4172-91BE-8A8AD875E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bberzz" refreshedDate="46178.660951851853" createdVersion="8" refreshedVersion="8" minRefreshableVersion="3" recordCount="22" xr:uid="{F2F1F68B-C56E-D34A-8ED9-385ECFC57BB7}">
  <cacheSource type="worksheet">
    <worksheetSource name="OrderUserDetail"/>
  </cacheSource>
  <cacheFields count="15">
    <cacheField name="order_id" numFmtId="0">
      <sharedItems containsSemiMixedTypes="0" containsString="0" containsNumber="1" containsInteger="1" minValue="111" maxValue="2332"/>
    </cacheField>
    <cacheField name="date" numFmtId="176">
      <sharedItems containsSemiMixedTypes="0" containsNonDate="0" containsDate="1" containsString="0" minDate="2012-10-18T00:00:00" maxDate="2018-11-02T00:00:00"/>
    </cacheField>
    <cacheField name="user_id" numFmtId="0">
      <sharedItems containsSemiMixedTypes="0" containsString="0" containsNumber="1" containsInteger="1" minValue="10010" maxValue="22225"/>
    </cacheField>
    <cacheField name="count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minValue="80.5" maxValue="789"/>
    </cacheField>
    <cacheField name="desc" numFmtId="0">
      <sharedItems containsBlank="1"/>
    </cacheField>
    <cacheField name="order_amount" numFmtId="0">
      <sharedItems containsSemiMixedTypes="0" containsString="0" containsNumber="1" minValue="80.5" maxValue="10335"/>
    </cacheField>
    <cacheField name="weekday" numFmtId="0">
      <sharedItems count="7">
        <s v="星期二"/>
        <s v="星期一"/>
        <s v="星期五"/>
        <s v="星期六"/>
        <s v="星期三"/>
        <s v="星期四"/>
        <s v="星期日"/>
      </sharedItems>
    </cacheField>
    <cacheField name="year" numFmtId="0">
      <sharedItems containsSemiMixedTypes="0" containsString="0" containsNumber="1" containsInteger="1" minValue="2012" maxValue="2018"/>
    </cacheField>
    <cacheField name="name" numFmtId="0">
      <sharedItems count="10">
        <s v="韩梅梅"/>
        <s v="李雷"/>
        <s v="马腾"/>
        <s v="杜雷"/>
        <s v="小明名"/>
        <s v="小哈"/>
        <s v="赵雷"/>
        <s v="小呵"/>
        <s v="小嘿"/>
        <s v="小嘻"/>
      </sharedItems>
    </cacheField>
    <cacheField name="addr" numFmtId="0">
      <sharedItems/>
    </cacheField>
    <cacheField name="age" numFmtId="0">
      <sharedItems containsSemiMixedTypes="0" containsString="0" containsNumber="1" containsInteger="1" minValue="18" maxValue="30"/>
    </cacheField>
    <cacheField name="sex" numFmtId="0">
      <sharedItems/>
    </cacheField>
    <cacheField name="sex_clean" numFmtId="0">
      <sharedItems count="2">
        <s v="女"/>
        <s v="男"/>
      </sharedItems>
    </cacheField>
    <cacheField name="addr_clean" numFmtId="0">
      <sharedItems count="6">
        <s v="广州"/>
        <s v="北京"/>
        <s v="深圳"/>
        <s v="重庆"/>
        <s v="天津"/>
        <s v="成都"/>
      </sharedItems>
    </cacheField>
  </cacheFields>
  <extLst>
    <ext xmlns:x14="http://schemas.microsoft.com/office/spreadsheetml/2009/9/main" uri="{725AE2AE-9491-48be-B2B4-4EB974FC3084}">
      <x14:pivotCacheDefinition pivotCacheId="15294859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11"/>
    <d v="2012-12-11T00:00:00"/>
    <n v="10086"/>
    <n v="6"/>
    <n v="90.2"/>
    <s v="如遇缺货请及时联系"/>
    <n v="541.20000000000005"/>
    <x v="0"/>
    <n v="2012"/>
    <x v="0"/>
    <s v="广州"/>
    <n v="23"/>
    <s v="女"/>
    <x v="0"/>
    <x v="0"/>
  </r>
  <r>
    <n v="222"/>
    <d v="2013-02-12T00:00:00"/>
    <n v="10010"/>
    <n v="2"/>
    <n v="80.5"/>
    <m/>
    <n v="161"/>
    <x v="0"/>
    <n v="2013"/>
    <x v="1"/>
    <s v="北京市"/>
    <n v="18"/>
    <s v="男"/>
    <x v="1"/>
    <x v="1"/>
  </r>
  <r>
    <n v="333"/>
    <d v="2014-10-13T00:00:00"/>
    <n v="10111"/>
    <n v="3"/>
    <n v="111"/>
    <s v="一定要快哟!"/>
    <n v="333"/>
    <x v="1"/>
    <n v="2014"/>
    <x v="2"/>
    <s v="深圳市"/>
    <n v="30"/>
    <s v="男性"/>
    <x v="1"/>
    <x v="2"/>
  </r>
  <r>
    <n v="444"/>
    <d v="2015-12-14T00:00:00"/>
    <n v="10100"/>
    <n v="2"/>
    <n v="116"/>
    <m/>
    <n v="232"/>
    <x v="1"/>
    <n v="2015"/>
    <x v="3"/>
    <s v="深圳"/>
    <n v="23"/>
    <s v="男性"/>
    <x v="1"/>
    <x v="2"/>
  </r>
  <r>
    <n v="555"/>
    <d v="2016-07-15T00:00:00"/>
    <n v="11112"/>
    <n v="5"/>
    <n v="111"/>
    <s v="一定要新鲜哟!"/>
    <n v="555"/>
    <x v="2"/>
    <n v="2016"/>
    <x v="4"/>
    <s v="重庆市"/>
    <n v="26"/>
    <s v="女"/>
    <x v="0"/>
    <x v="3"/>
  </r>
  <r>
    <n v="666"/>
    <d v="2017-09-16T00:00:00"/>
    <n v="22222"/>
    <n v="15"/>
    <n v="689"/>
    <m/>
    <n v="10335"/>
    <x v="3"/>
    <n v="2017"/>
    <x v="5"/>
    <s v="天津"/>
    <n v="23"/>
    <s v="女性"/>
    <x v="0"/>
    <x v="4"/>
  </r>
  <r>
    <n v="777"/>
    <d v="2018-10-17T00:00:00"/>
    <n v="11111"/>
    <n v="3"/>
    <n v="111"/>
    <s v="一定要快哟!"/>
    <n v="333"/>
    <x v="4"/>
    <n v="2018"/>
    <x v="6"/>
    <s v="成都"/>
    <n v="25"/>
    <s v="男性"/>
    <x v="1"/>
    <x v="5"/>
  </r>
  <r>
    <n v="888"/>
    <d v="2012-10-18T00:00:00"/>
    <n v="22223"/>
    <n v="2"/>
    <n v="90.2"/>
    <s v="如遇缺货请及时联系"/>
    <n v="180.4"/>
    <x v="5"/>
    <n v="2012"/>
    <x v="7"/>
    <s v="广州市"/>
    <n v="23"/>
    <s v="女性"/>
    <x v="0"/>
    <x v="0"/>
  </r>
  <r>
    <n v="999"/>
    <d v="2013-10-19T00:00:00"/>
    <n v="22224"/>
    <n v="1"/>
    <n v="80.5"/>
    <m/>
    <n v="80.5"/>
    <x v="3"/>
    <n v="2013"/>
    <x v="8"/>
    <s v="天津市"/>
    <n v="23"/>
    <s v="女性"/>
    <x v="0"/>
    <x v="4"/>
  </r>
  <r>
    <n v="1110"/>
    <d v="2014-10-20T00:00:00"/>
    <n v="22225"/>
    <n v="12"/>
    <n v="789"/>
    <s v="一定要快哟!"/>
    <n v="9468"/>
    <x v="1"/>
    <n v="2014"/>
    <x v="9"/>
    <s v="北京市"/>
    <n v="23"/>
    <s v="女性"/>
    <x v="0"/>
    <x v="1"/>
  </r>
  <r>
    <n v="1221"/>
    <d v="2014-10-21T00:00:00"/>
    <n v="10111"/>
    <n v="10"/>
    <n v="663"/>
    <m/>
    <n v="6630"/>
    <x v="0"/>
    <n v="2014"/>
    <x v="2"/>
    <s v="深圳市"/>
    <n v="30"/>
    <s v="男性"/>
    <x v="1"/>
    <x v="2"/>
  </r>
  <r>
    <n v="1332"/>
    <d v="2012-10-22T00:00:00"/>
    <n v="10100"/>
    <n v="4"/>
    <n v="324"/>
    <s v="一定要新鲜哟!"/>
    <n v="1296"/>
    <x v="1"/>
    <n v="2012"/>
    <x v="3"/>
    <s v="深圳"/>
    <n v="23"/>
    <s v="男性"/>
    <x v="1"/>
    <x v="2"/>
  </r>
  <r>
    <n v="1443"/>
    <d v="2013-10-23T00:00:00"/>
    <n v="11112"/>
    <n v="4"/>
    <n v="697.6"/>
    <m/>
    <n v="2790.4"/>
    <x v="4"/>
    <n v="2013"/>
    <x v="4"/>
    <s v="重庆市"/>
    <n v="26"/>
    <s v="女"/>
    <x v="0"/>
    <x v="3"/>
  </r>
  <r>
    <n v="1554"/>
    <d v="2015-10-24T00:00:00"/>
    <n v="22222"/>
    <n v="6"/>
    <n v="256"/>
    <s v="一定要快哟!"/>
    <n v="1536"/>
    <x v="3"/>
    <n v="2015"/>
    <x v="5"/>
    <s v="天津"/>
    <n v="23"/>
    <s v="女性"/>
    <x v="0"/>
    <x v="4"/>
  </r>
  <r>
    <n v="1665"/>
    <d v="2013-10-25T00:00:00"/>
    <n v="10100"/>
    <n v="8"/>
    <n v="357"/>
    <s v="如遇缺货请及时联系"/>
    <n v="2856"/>
    <x v="2"/>
    <n v="2013"/>
    <x v="3"/>
    <s v="深圳"/>
    <n v="23"/>
    <s v="男性"/>
    <x v="1"/>
    <x v="2"/>
  </r>
  <r>
    <n v="1776"/>
    <d v="2014-10-26T00:00:00"/>
    <n v="11112"/>
    <n v="9"/>
    <n v="489"/>
    <m/>
    <n v="4401"/>
    <x v="6"/>
    <n v="2014"/>
    <x v="4"/>
    <s v="重庆市"/>
    <n v="26"/>
    <s v="女"/>
    <x v="0"/>
    <x v="3"/>
  </r>
  <r>
    <n v="1887"/>
    <d v="2016-10-27T00:00:00"/>
    <n v="22222"/>
    <n v="20"/>
    <n v="421"/>
    <s v="一定要快哟!"/>
    <n v="8420"/>
    <x v="5"/>
    <n v="2016"/>
    <x v="5"/>
    <s v="天津"/>
    <n v="23"/>
    <s v="女性"/>
    <x v="0"/>
    <x v="4"/>
  </r>
  <r>
    <n v="1998"/>
    <d v="2017-10-28T00:00:00"/>
    <n v="11111"/>
    <n v="11"/>
    <n v="389"/>
    <m/>
    <n v="4279"/>
    <x v="3"/>
    <n v="2017"/>
    <x v="6"/>
    <s v="成都"/>
    <n v="25"/>
    <s v="男性"/>
    <x v="1"/>
    <x v="5"/>
  </r>
  <r>
    <n v="2109"/>
    <d v="2018-10-29T00:00:00"/>
    <n v="22223"/>
    <n v="5"/>
    <n v="356.5"/>
    <s v="一定要新鲜哟!"/>
    <n v="1782.5"/>
    <x v="1"/>
    <n v="2018"/>
    <x v="7"/>
    <s v="广州市"/>
    <n v="23"/>
    <s v="女性"/>
    <x v="0"/>
    <x v="0"/>
  </r>
  <r>
    <n v="2220"/>
    <d v="2018-10-30T00:00:00"/>
    <n v="22224"/>
    <n v="3"/>
    <n v="555"/>
    <m/>
    <n v="1665"/>
    <x v="0"/>
    <n v="2018"/>
    <x v="8"/>
    <s v="天津市"/>
    <n v="23"/>
    <s v="女性"/>
    <x v="0"/>
    <x v="4"/>
  </r>
  <r>
    <n v="2331"/>
    <d v="2015-10-31T00:00:00"/>
    <n v="22225"/>
    <n v="6"/>
    <n v="368.4"/>
    <s v="一定要快哟!"/>
    <n v="2210.4"/>
    <x v="3"/>
    <n v="2015"/>
    <x v="9"/>
    <s v="北京市"/>
    <n v="23"/>
    <s v="女性"/>
    <x v="0"/>
    <x v="1"/>
  </r>
  <r>
    <n v="2332"/>
    <d v="2018-11-01T00:00:00"/>
    <n v="10010"/>
    <n v="5"/>
    <n v="333"/>
    <s v="一定要快哟!"/>
    <n v="1665"/>
    <x v="5"/>
    <n v="2018"/>
    <x v="1"/>
    <s v="北京市"/>
    <n v="18"/>
    <s v="男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C9871-0CDB-DF40-A765-51D301001BA0}" name="数据透视表4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A36:B47" firstHeaderRow="1" firstDataRow="1" firstDataCol="1"/>
  <pivotFields count="15">
    <pivotField showAll="0"/>
    <pivotField numFmtId="176" showAll="0"/>
    <pivotField showAll="0"/>
    <pivotField showAll="0"/>
    <pivotField showAll="0"/>
    <pivotField showAll="0"/>
    <pivotField dataField="1" showAll="0"/>
    <pivotField showAll="0">
      <items count="8">
        <item x="6"/>
        <item x="1"/>
        <item x="0"/>
        <item x="4"/>
        <item x="5"/>
        <item x="2"/>
        <item x="3"/>
        <item t="default"/>
      </items>
    </pivotField>
    <pivotField showAll="0"/>
    <pivotField axis="axisRow" showAll="0">
      <items count="11">
        <item x="3"/>
        <item x="0"/>
        <item x="1"/>
        <item x="2"/>
        <item x="5"/>
        <item x="7"/>
        <item x="8"/>
        <item x="4"/>
        <item x="9"/>
        <item x="6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1"/>
        <item x="5"/>
        <item x="0"/>
        <item x="2"/>
        <item x="4"/>
        <item x="3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求和项:order_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0FE42-8E18-1F46-8A17-322DC31DB00E}" name="数据透视表3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25:B32" firstHeaderRow="1" firstDataRow="1" firstDataCol="1"/>
  <pivotFields count="15">
    <pivotField showAll="0"/>
    <pivotField numFmtId="176" showAll="0"/>
    <pivotField showAll="0"/>
    <pivotField showAll="0"/>
    <pivotField showAll="0"/>
    <pivotField showAll="0"/>
    <pivotField dataField="1" showAll="0"/>
    <pivotField showAll="0">
      <items count="8">
        <item x="6"/>
        <item x="1"/>
        <item x="0"/>
        <item x="4"/>
        <item x="5"/>
        <item x="2"/>
        <item x="3"/>
        <item t="default"/>
      </items>
    </pivotField>
    <pivotField showAll="0"/>
    <pivotField showAll="0">
      <items count="11">
        <item x="3"/>
        <item x="0"/>
        <item x="1"/>
        <item x="2"/>
        <item x="5"/>
        <item x="7"/>
        <item x="8"/>
        <item x="4"/>
        <item x="9"/>
        <item x="6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7">
        <item x="1"/>
        <item x="5"/>
        <item x="0"/>
        <item x="2"/>
        <item x="4"/>
        <item x="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order_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60760-19EF-4647-95EB-9F4E5CE6AC5B}" name="数据透视表2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18:B21" firstHeaderRow="1" firstDataRow="1" firstDataCol="1"/>
  <pivotFields count="15">
    <pivotField showAll="0"/>
    <pivotField numFmtId="176" showAll="0"/>
    <pivotField showAll="0"/>
    <pivotField showAll="0"/>
    <pivotField showAll="0"/>
    <pivotField showAll="0"/>
    <pivotField dataField="1" showAll="0"/>
    <pivotField showAll="0">
      <items count="8">
        <item x="6"/>
        <item x="1"/>
        <item x="0"/>
        <item x="4"/>
        <item x="5"/>
        <item x="2"/>
        <item x="3"/>
        <item t="default"/>
      </items>
    </pivotField>
    <pivotField showAll="0"/>
    <pivotField showAll="0">
      <items count="11">
        <item x="3"/>
        <item x="0"/>
        <item x="1"/>
        <item x="2"/>
        <item x="5"/>
        <item x="7"/>
        <item x="8"/>
        <item x="4"/>
        <item x="9"/>
        <item x="6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7">
        <item x="1"/>
        <item x="5"/>
        <item x="0"/>
        <item x="2"/>
        <item x="4"/>
        <item x="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求和项:order_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26927-AE78-BF4C-A523-AF11FECD7B64}" name="数据透视表1" cacheId="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5">
    <pivotField showAll="0"/>
    <pivotField numFmtId="176" showAll="0"/>
    <pivotField showAll="0"/>
    <pivotField showAll="0"/>
    <pivotField showAll="0"/>
    <pivotField showAll="0"/>
    <pivotField dataField="1" showAll="0"/>
    <pivotField axis="axisRow" showAll="0">
      <items count="8">
        <item x="6"/>
        <item x="1"/>
        <item x="0"/>
        <item x="4"/>
        <item x="5"/>
        <item x="2"/>
        <item x="3"/>
        <item t="default"/>
      </items>
    </pivotField>
    <pivotField showAll="0"/>
    <pivotField showAll="0">
      <items count="11">
        <item x="3"/>
        <item x="0"/>
        <item x="1"/>
        <item x="2"/>
        <item x="5"/>
        <item x="7"/>
        <item x="8"/>
        <item x="4"/>
        <item x="9"/>
        <item x="6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7">
        <item x="1"/>
        <item x="5"/>
        <item x="0"/>
        <item x="2"/>
        <item x="4"/>
        <item x="3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求和项:order_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weekday" xr10:uid="{AFE83242-DAFE-4247-837B-09B29791462F}" sourceName="weekday">
  <pivotTables>
    <pivotTable tabId="8" name="数据透视表4"/>
    <pivotTable tabId="8" name="数据透视表1"/>
    <pivotTable tabId="8" name="数据透视表2"/>
    <pivotTable tabId="8" name="数据透视表3"/>
  </pivotTables>
  <data>
    <tabular pivotCacheId="1529485948">
      <items count="7">
        <i x="6" s="1"/>
        <i x="1" s="1"/>
        <i x="0" s="1"/>
        <i x="4" s="1"/>
        <i x="5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name" xr10:uid="{E0D0078D-CFDE-A84B-A2ED-3663CA9D2181}" sourceName="name">
  <pivotTables>
    <pivotTable tabId="8" name="数据透视表4"/>
    <pivotTable tabId="8" name="数据透视表1"/>
    <pivotTable tabId="8" name="数据透视表2"/>
    <pivotTable tabId="8" name="数据透视表3"/>
  </pivotTables>
  <data>
    <tabular pivotCacheId="1529485948">
      <items count="10">
        <i x="3" s="1"/>
        <i x="0" s="1"/>
        <i x="1" s="1"/>
        <i x="2" s="1"/>
        <i x="5" s="1"/>
        <i x="7" s="1"/>
        <i x="8" s="1"/>
        <i x="4" s="1"/>
        <i x="9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sex_clean" xr10:uid="{6EC15AC7-01B0-AC41-8C78-EE04CD921B63}" sourceName="sex_clean">
  <pivotTables>
    <pivotTable tabId="8" name="数据透视表4"/>
    <pivotTable tabId="8" name="数据透视表1"/>
    <pivotTable tabId="8" name="数据透视表2"/>
    <pivotTable tabId="8" name="数据透视表3"/>
  </pivotTables>
  <data>
    <tabular pivotCacheId="1529485948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addr_clean" xr10:uid="{2B223D8F-17CD-9B4A-8AAE-CB2AAF0F5082}" sourceName="addr_clean">
  <pivotTables>
    <pivotTable tabId="8" name="数据透视表4"/>
    <pivotTable tabId="8" name="数据透视表1"/>
    <pivotTable tabId="8" name="数据透视表2"/>
    <pivotTable tabId="8" name="数据透视表3"/>
  </pivotTables>
  <data>
    <tabular pivotCacheId="1529485948">
      <items count="6">
        <i x="1" s="1"/>
        <i x="5" s="1"/>
        <i x="0" s="1"/>
        <i x="2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ekday" xr10:uid="{79982088-8FD6-7C40-9738-281ADCFA7778}" cache="切片器_weekday" caption="weekday" rowHeight="209550"/>
  <slicer name="name" xr10:uid="{C4CE63B1-CFCF-AA4E-B2EC-A3476C23B607}" cache="切片器_name" caption="name" rowHeight="209550"/>
  <slicer name="sex_clean" xr10:uid="{04647DA1-4DCF-FC4E-AD8B-3B15C4A22C85}" cache="切片器_sex_clean" caption="sex_clean" rowHeight="209550"/>
  <slicer name="addr_clean" xr10:uid="{63CF091D-DBD1-184D-A700-440872E3BE08}" cache="切片器_addr_clean" caption="addr_clean" rowHeight="209550"/>
  <slicer name="addr_clean 1" xr10:uid="{F0BAB487-F031-9148-B1D9-E13359C8BF3C}" cache="切片器_addr_clean" caption="addr_clean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Raw" displayName="UsersRaw" ref="A1:E13">
  <autoFilter ref="A1:E13" xr:uid="{00000000-0009-0000-0100-000001000000}"/>
  <tableColumns count="5">
    <tableColumn id="1" xr3:uid="{00000000-0010-0000-0000-000001000000}" name="id"/>
    <tableColumn id="2" xr3:uid="{00000000-0010-0000-0000-000002000000}" name="name"/>
    <tableColumn id="3" xr3:uid="{00000000-0010-0000-0000-000003000000}" name="addr"/>
    <tableColumn id="4" xr3:uid="{00000000-0010-0000-0000-000004000000}" name="age"/>
    <tableColumn id="5" xr3:uid="{00000000-0010-0000-0000-000005000000}" name="s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DetailRaw" displayName="OrderDetailRaw" ref="A1:F100">
  <autoFilter ref="A1:F100" xr:uid="{00000000-0009-0000-0100-000002000000}"/>
  <tableColumns count="6">
    <tableColumn id="1" xr3:uid="{00000000-0010-0000-0100-000001000000}" name="id"/>
    <tableColumn id="2" xr3:uid="{00000000-0010-0000-0100-000002000000}" name="date"/>
    <tableColumn id="3" xr3:uid="{00000000-0010-0000-0100-000003000000}" name="user_id"/>
    <tableColumn id="4" xr3:uid="{00000000-0010-0000-0100-000004000000}" name="count"/>
    <tableColumn id="5" xr3:uid="{00000000-0010-0000-0100-000005000000}" name="unit_price"/>
    <tableColumn id="6" xr3:uid="{00000000-0010-0000-0100-000006000000}" name="des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ersClean" displayName="UsersClean" ref="A1:G11">
  <autoFilter ref="A1:G11" xr:uid="{00000000-0009-0000-0100-000003000000}"/>
  <tableColumns count="7">
    <tableColumn id="1" xr3:uid="{00000000-0010-0000-0200-000001000000}" name="id"/>
    <tableColumn id="2" xr3:uid="{00000000-0010-0000-0200-000002000000}" name="name"/>
    <tableColumn id="3" xr3:uid="{00000000-0010-0000-0200-000003000000}" name="addr"/>
    <tableColumn id="4" xr3:uid="{00000000-0010-0000-0200-000004000000}" name="age"/>
    <tableColumn id="5" xr3:uid="{00000000-0010-0000-0200-000005000000}" name="sex"/>
    <tableColumn id="6" xr3:uid="{00000000-0010-0000-0200-000006000000}" name="sex_clean"/>
    <tableColumn id="7" xr3:uid="{00000000-0010-0000-0200-000007000000}" name="addr_cle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derDetailClean" displayName="OrderDetailClean" ref="A1:I23">
  <autoFilter ref="A1:I23" xr:uid="{00000000-0009-0000-0100-000004000000}"/>
  <tableColumns count="9">
    <tableColumn id="1" xr3:uid="{00000000-0010-0000-0300-000001000000}" name="id"/>
    <tableColumn id="2" xr3:uid="{00000000-0010-0000-0300-000002000000}" name="date"/>
    <tableColumn id="3" xr3:uid="{00000000-0010-0000-0300-000003000000}" name="user_id"/>
    <tableColumn id="4" xr3:uid="{00000000-0010-0000-0300-000004000000}" name="count"/>
    <tableColumn id="5" xr3:uid="{00000000-0010-0000-0300-000005000000}" name="unit_price"/>
    <tableColumn id="6" xr3:uid="{00000000-0010-0000-0300-000006000000}" name="desc"/>
    <tableColumn id="7" xr3:uid="{00000000-0010-0000-0300-000007000000}" name="order_amount"/>
    <tableColumn id="8" xr3:uid="{00000000-0010-0000-0300-000008000000}" name="weekday"/>
    <tableColumn id="9" xr3:uid="{00000000-0010-0000-0300-000009000000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rderUserDetail" displayName="OrderUserDetail" ref="A1:O23">
  <autoFilter ref="A1:O23" xr:uid="{00000000-0009-0000-0100-000005000000}"/>
  <tableColumns count="15">
    <tableColumn id="1" xr3:uid="{00000000-0010-0000-0400-000001000000}" name="order_id"/>
    <tableColumn id="2" xr3:uid="{00000000-0010-0000-0400-000002000000}" name="date"/>
    <tableColumn id="3" xr3:uid="{00000000-0010-0000-0400-000003000000}" name="user_id"/>
    <tableColumn id="4" xr3:uid="{00000000-0010-0000-0400-000004000000}" name="count"/>
    <tableColumn id="5" xr3:uid="{00000000-0010-0000-0400-000005000000}" name="unit_price"/>
    <tableColumn id="6" xr3:uid="{00000000-0010-0000-0400-000006000000}" name="desc"/>
    <tableColumn id="7" xr3:uid="{00000000-0010-0000-0400-000007000000}" name="order_amount"/>
    <tableColumn id="8" xr3:uid="{00000000-0010-0000-0400-000008000000}" name="weekday"/>
    <tableColumn id="9" xr3:uid="{00000000-0010-0000-0400-000009000000}" name="year"/>
    <tableColumn id="10" xr3:uid="{00000000-0010-0000-0400-00000A000000}" name="name"/>
    <tableColumn id="11" xr3:uid="{00000000-0010-0000-0400-00000B000000}" name="addr"/>
    <tableColumn id="12" xr3:uid="{00000000-0010-0000-0400-00000C000000}" name="age"/>
    <tableColumn id="13" xr3:uid="{00000000-0010-0000-0400-00000D000000}" name="sex"/>
    <tableColumn id="14" xr3:uid="{00000000-0010-0000-0400-00000E000000}" name="sex_clean"/>
    <tableColumn id="15" xr3:uid="{00000000-0010-0000-0400-00000F000000}" name="addr_clea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ivotByWeekday" displayName="PivotByWeekday" ref="A1:B8">
  <autoFilter ref="A1:B8" xr:uid="{00000000-0009-0000-0100-000006000000}"/>
  <tableColumns count="2">
    <tableColumn id="1" xr3:uid="{00000000-0010-0000-0500-000001000000}" name="星期"/>
    <tableColumn id="2" xr3:uid="{00000000-0010-0000-0500-000002000000}" name="订单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>
      <selection activeCell="A31" sqref="A31"/>
    </sheetView>
  </sheetViews>
  <sheetFormatPr baseColWidth="10" defaultColWidth="8.83203125" defaultRowHeight="14"/>
  <cols>
    <col min="1" max="1" width="120" customWidth="1"/>
  </cols>
  <sheetData>
    <row r="1" spans="1:1" ht="19">
      <c r="A1" s="1" t="s">
        <v>0</v>
      </c>
    </row>
    <row r="3" spans="1:1" ht="16">
      <c r="A3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 ht="16">
      <c r="A10" s="2"/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 ht="16">
      <c r="A21" s="2"/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695-140C-2948-877D-68BF07A57FAB}">
  <dimension ref="A3:B47"/>
  <sheetViews>
    <sheetView tabSelected="1" workbookViewId="0">
      <selection activeCell="O43" sqref="O43"/>
    </sheetView>
  </sheetViews>
  <sheetFormatPr baseColWidth="10" defaultRowHeight="14"/>
  <cols>
    <col min="1" max="1" width="10" bestFit="1" customWidth="1"/>
    <col min="2" max="2" width="20.33203125" bestFit="1" customWidth="1"/>
  </cols>
  <sheetData>
    <row r="3" spans="1:2">
      <c r="A3" s="5" t="s">
        <v>99</v>
      </c>
      <c r="B3" t="s">
        <v>101</v>
      </c>
    </row>
    <row r="4" spans="1:2">
      <c r="A4" s="6" t="s">
        <v>92</v>
      </c>
      <c r="B4" s="7">
        <v>4401</v>
      </c>
    </row>
    <row r="5" spans="1:2">
      <c r="A5" s="6" t="s">
        <v>87</v>
      </c>
      <c r="B5" s="7">
        <v>13111.5</v>
      </c>
    </row>
    <row r="6" spans="1:2">
      <c r="A6" s="6" t="s">
        <v>86</v>
      </c>
      <c r="B6" s="7">
        <v>8997.2000000000007</v>
      </c>
    </row>
    <row r="7" spans="1:2">
      <c r="A7" s="6" t="s">
        <v>90</v>
      </c>
      <c r="B7" s="7">
        <v>3123.4</v>
      </c>
    </row>
    <row r="8" spans="1:2">
      <c r="A8" s="6" t="s">
        <v>91</v>
      </c>
      <c r="B8" s="7">
        <v>10265.4</v>
      </c>
    </row>
    <row r="9" spans="1:2">
      <c r="A9" s="6" t="s">
        <v>88</v>
      </c>
      <c r="B9" s="7">
        <v>3411</v>
      </c>
    </row>
    <row r="10" spans="1:2">
      <c r="A10" s="6" t="s">
        <v>89</v>
      </c>
      <c r="B10" s="7">
        <v>18440.900000000001</v>
      </c>
    </row>
    <row r="11" spans="1:2">
      <c r="A11" s="6" t="s">
        <v>100</v>
      </c>
      <c r="B11" s="7">
        <v>61750.400000000001</v>
      </c>
    </row>
    <row r="18" spans="1:2">
      <c r="A18" s="5" t="s">
        <v>99</v>
      </c>
      <c r="B18" t="s">
        <v>101</v>
      </c>
    </row>
    <row r="19" spans="1:2">
      <c r="A19" s="6" t="s">
        <v>28</v>
      </c>
      <c r="B19" s="7">
        <v>17785</v>
      </c>
    </row>
    <row r="20" spans="1:2">
      <c r="A20" s="6" t="s">
        <v>31</v>
      </c>
      <c r="B20" s="7">
        <v>43965.4</v>
      </c>
    </row>
    <row r="21" spans="1:2">
      <c r="A21" s="6" t="s">
        <v>100</v>
      </c>
      <c r="B21" s="7">
        <v>61750.400000000001</v>
      </c>
    </row>
    <row r="25" spans="1:2">
      <c r="A25" s="5" t="s">
        <v>99</v>
      </c>
      <c r="B25" t="s">
        <v>101</v>
      </c>
    </row>
    <row r="26" spans="1:2">
      <c r="A26" s="6" t="s">
        <v>81</v>
      </c>
      <c r="B26" s="7">
        <v>13504.4</v>
      </c>
    </row>
    <row r="27" spans="1:2">
      <c r="A27" s="6" t="s">
        <v>38</v>
      </c>
      <c r="B27" s="7">
        <v>4612</v>
      </c>
    </row>
    <row r="28" spans="1:2">
      <c r="A28" s="6" t="s">
        <v>30</v>
      </c>
      <c r="B28" s="7">
        <v>2504.1</v>
      </c>
    </row>
    <row r="29" spans="1:2">
      <c r="A29" s="6" t="s">
        <v>33</v>
      </c>
      <c r="B29" s="7">
        <v>11347</v>
      </c>
    </row>
    <row r="30" spans="1:2">
      <c r="A30" s="6" t="s">
        <v>42</v>
      </c>
      <c r="B30" s="7">
        <v>22036.5</v>
      </c>
    </row>
    <row r="31" spans="1:2">
      <c r="A31" s="6" t="s">
        <v>82</v>
      </c>
      <c r="B31" s="7">
        <v>7746.4</v>
      </c>
    </row>
    <row r="32" spans="1:2">
      <c r="A32" s="6" t="s">
        <v>100</v>
      </c>
      <c r="B32" s="7">
        <v>61750.400000000001</v>
      </c>
    </row>
    <row r="36" spans="1:2">
      <c r="A36" s="5" t="s">
        <v>99</v>
      </c>
      <c r="B36" t="s">
        <v>101</v>
      </c>
    </row>
    <row r="37" spans="1:2">
      <c r="A37" s="6" t="s">
        <v>32</v>
      </c>
      <c r="B37" s="7">
        <v>4384</v>
      </c>
    </row>
    <row r="38" spans="1:2">
      <c r="A38" s="6" t="s">
        <v>29</v>
      </c>
      <c r="B38" s="7">
        <v>541.20000000000005</v>
      </c>
    </row>
    <row r="39" spans="1:2">
      <c r="A39" s="6" t="s">
        <v>26</v>
      </c>
      <c r="B39" s="7">
        <v>1826</v>
      </c>
    </row>
    <row r="40" spans="1:2">
      <c r="A40" s="6" t="s">
        <v>35</v>
      </c>
      <c r="B40" s="7">
        <v>6963</v>
      </c>
    </row>
    <row r="41" spans="1:2">
      <c r="A41" s="6" t="s">
        <v>41</v>
      </c>
      <c r="B41" s="7">
        <v>20291</v>
      </c>
    </row>
    <row r="42" spans="1:2">
      <c r="A42" s="6" t="s">
        <v>44</v>
      </c>
      <c r="B42" s="7">
        <v>1962.9</v>
      </c>
    </row>
    <row r="43" spans="1:2">
      <c r="A43" s="6" t="s">
        <v>46</v>
      </c>
      <c r="B43" s="7">
        <v>1745.5</v>
      </c>
    </row>
    <row r="44" spans="1:2">
      <c r="A44" s="6" t="s">
        <v>39</v>
      </c>
      <c r="B44" s="7">
        <v>7746.4</v>
      </c>
    </row>
    <row r="45" spans="1:2">
      <c r="A45" s="6" t="s">
        <v>48</v>
      </c>
      <c r="B45" s="7">
        <v>11678.4</v>
      </c>
    </row>
    <row r="46" spans="1:2">
      <c r="A46" s="6" t="s">
        <v>37</v>
      </c>
      <c r="B46" s="7">
        <v>4612</v>
      </c>
    </row>
    <row r="47" spans="1:2">
      <c r="A47" s="6" t="s">
        <v>100</v>
      </c>
      <c r="B47" s="7">
        <v>61750.400000000001</v>
      </c>
    </row>
  </sheetData>
  <phoneticPr fontId="4" type="noConversion"/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5" width="10" customWidth="1"/>
  </cols>
  <sheetData>
    <row r="1" spans="1: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>
      <c r="A2">
        <v>10010</v>
      </c>
      <c r="B2" t="s">
        <v>26</v>
      </c>
      <c r="C2" t="s">
        <v>27</v>
      </c>
      <c r="D2">
        <v>18</v>
      </c>
      <c r="E2" t="s">
        <v>28</v>
      </c>
    </row>
    <row r="3" spans="1:5">
      <c r="A3">
        <v>10086</v>
      </c>
      <c r="B3" t="s">
        <v>29</v>
      </c>
      <c r="C3" t="s">
        <v>30</v>
      </c>
      <c r="E3" t="s">
        <v>31</v>
      </c>
    </row>
    <row r="4" spans="1:5">
      <c r="A4">
        <v>10100</v>
      </c>
      <c r="B4" t="s">
        <v>32</v>
      </c>
      <c r="C4" t="s">
        <v>33</v>
      </c>
      <c r="E4" t="s">
        <v>34</v>
      </c>
    </row>
    <row r="5" spans="1:5">
      <c r="A5">
        <v>10111</v>
      </c>
      <c r="B5" t="s">
        <v>35</v>
      </c>
      <c r="C5" t="s">
        <v>36</v>
      </c>
      <c r="D5">
        <v>30</v>
      </c>
      <c r="E5" t="s">
        <v>34</v>
      </c>
    </row>
    <row r="6" spans="1:5">
      <c r="A6">
        <v>11111</v>
      </c>
      <c r="B6" t="s">
        <v>37</v>
      </c>
      <c r="C6" t="s">
        <v>38</v>
      </c>
      <c r="D6">
        <v>25</v>
      </c>
      <c r="E6" t="s">
        <v>34</v>
      </c>
    </row>
    <row r="7" spans="1:5">
      <c r="A7">
        <v>11112</v>
      </c>
      <c r="B7" t="s">
        <v>39</v>
      </c>
      <c r="C7" t="s">
        <v>40</v>
      </c>
      <c r="D7">
        <v>26</v>
      </c>
      <c r="E7" t="s">
        <v>31</v>
      </c>
    </row>
    <row r="8" spans="1:5">
      <c r="A8">
        <v>11112</v>
      </c>
      <c r="B8" t="s">
        <v>39</v>
      </c>
      <c r="C8" t="s">
        <v>40</v>
      </c>
      <c r="D8">
        <v>26</v>
      </c>
      <c r="E8" t="s">
        <v>31</v>
      </c>
    </row>
    <row r="9" spans="1:5">
      <c r="A9">
        <v>22222</v>
      </c>
      <c r="B9" t="s">
        <v>41</v>
      </c>
      <c r="C9" t="s">
        <v>42</v>
      </c>
      <c r="D9">
        <v>23</v>
      </c>
      <c r="E9" t="s">
        <v>43</v>
      </c>
    </row>
    <row r="10" spans="1:5">
      <c r="A10">
        <v>22223</v>
      </c>
      <c r="B10" t="s">
        <v>44</v>
      </c>
      <c r="C10" t="s">
        <v>45</v>
      </c>
      <c r="D10">
        <v>23</v>
      </c>
      <c r="E10" t="s">
        <v>43</v>
      </c>
    </row>
    <row r="11" spans="1:5">
      <c r="A11">
        <v>22224</v>
      </c>
      <c r="B11" t="s">
        <v>46</v>
      </c>
      <c r="C11" t="s">
        <v>47</v>
      </c>
      <c r="D11">
        <v>23</v>
      </c>
      <c r="E11" t="s">
        <v>43</v>
      </c>
    </row>
    <row r="12" spans="1:5">
      <c r="A12">
        <v>22225</v>
      </c>
      <c r="B12" t="s">
        <v>48</v>
      </c>
      <c r="C12" t="s">
        <v>27</v>
      </c>
      <c r="D12">
        <v>23</v>
      </c>
      <c r="E12" t="s">
        <v>43</v>
      </c>
    </row>
    <row r="13" spans="1:5">
      <c r="A13">
        <v>22225</v>
      </c>
      <c r="B13" t="s">
        <v>48</v>
      </c>
      <c r="C13" t="s">
        <v>27</v>
      </c>
      <c r="D13">
        <v>23</v>
      </c>
      <c r="E13" t="s">
        <v>43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4" width="10" customWidth="1"/>
    <col min="5" max="5" width="12" customWidth="1"/>
    <col min="6" max="6" width="11" customWidth="1"/>
  </cols>
  <sheetData>
    <row r="1" spans="1:6">
      <c r="A1" s="3" t="s">
        <v>21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</row>
    <row r="2" spans="1:6">
      <c r="A2">
        <v>111</v>
      </c>
      <c r="B2" t="s">
        <v>54</v>
      </c>
      <c r="C2">
        <v>10086</v>
      </c>
      <c r="D2">
        <v>6</v>
      </c>
      <c r="E2">
        <v>90.2</v>
      </c>
      <c r="F2" t="s">
        <v>55</v>
      </c>
    </row>
    <row r="3" spans="1:6">
      <c r="A3">
        <v>222</v>
      </c>
      <c r="B3" t="s">
        <v>56</v>
      </c>
      <c r="C3">
        <v>10010</v>
      </c>
      <c r="D3">
        <v>2</v>
      </c>
      <c r="E3">
        <v>80.5</v>
      </c>
    </row>
    <row r="4" spans="1:6">
      <c r="A4">
        <v>333</v>
      </c>
      <c r="B4" t="s">
        <v>57</v>
      </c>
      <c r="C4">
        <v>10111</v>
      </c>
      <c r="D4">
        <v>3</v>
      </c>
      <c r="E4">
        <v>111</v>
      </c>
      <c r="F4" t="s">
        <v>58</v>
      </c>
    </row>
    <row r="5" spans="1:6">
      <c r="A5">
        <v>444</v>
      </c>
      <c r="B5" t="s">
        <v>59</v>
      </c>
      <c r="C5">
        <v>10100</v>
      </c>
      <c r="D5">
        <v>2</v>
      </c>
      <c r="E5">
        <v>116</v>
      </c>
    </row>
    <row r="6" spans="1:6">
      <c r="A6">
        <v>555</v>
      </c>
      <c r="B6" t="s">
        <v>60</v>
      </c>
      <c r="C6">
        <v>11112</v>
      </c>
      <c r="D6">
        <v>5</v>
      </c>
      <c r="E6">
        <v>111</v>
      </c>
      <c r="F6" t="s">
        <v>61</v>
      </c>
    </row>
    <row r="7" spans="1:6">
      <c r="A7">
        <v>666</v>
      </c>
      <c r="B7" t="s">
        <v>62</v>
      </c>
      <c r="C7">
        <v>22222</v>
      </c>
      <c r="D7">
        <v>15</v>
      </c>
      <c r="E7">
        <v>689</v>
      </c>
    </row>
    <row r="8" spans="1:6">
      <c r="A8">
        <v>777</v>
      </c>
      <c r="B8" t="s">
        <v>63</v>
      </c>
      <c r="C8">
        <v>11111</v>
      </c>
      <c r="D8">
        <v>3</v>
      </c>
      <c r="E8">
        <v>111</v>
      </c>
      <c r="F8" t="s">
        <v>58</v>
      </c>
    </row>
    <row r="9" spans="1:6">
      <c r="A9">
        <v>888</v>
      </c>
      <c r="B9" t="s">
        <v>64</v>
      </c>
      <c r="C9">
        <v>22223</v>
      </c>
      <c r="D9">
        <v>2</v>
      </c>
      <c r="E9">
        <v>90.2</v>
      </c>
      <c r="F9" t="s">
        <v>55</v>
      </c>
    </row>
    <row r="10" spans="1:6">
      <c r="A10">
        <v>999</v>
      </c>
      <c r="B10" t="s">
        <v>65</v>
      </c>
      <c r="C10">
        <v>22224</v>
      </c>
      <c r="D10">
        <v>1</v>
      </c>
      <c r="E10">
        <v>80.5</v>
      </c>
    </row>
    <row r="11" spans="1:6">
      <c r="A11">
        <v>1110</v>
      </c>
      <c r="B11" t="s">
        <v>66</v>
      </c>
      <c r="C11">
        <v>22225</v>
      </c>
      <c r="D11">
        <v>12</v>
      </c>
      <c r="E11">
        <v>789</v>
      </c>
      <c r="F11" t="s">
        <v>58</v>
      </c>
    </row>
    <row r="12" spans="1:6">
      <c r="A12">
        <v>1221</v>
      </c>
      <c r="B12" t="s">
        <v>67</v>
      </c>
      <c r="C12">
        <v>10111</v>
      </c>
      <c r="D12">
        <v>10</v>
      </c>
      <c r="E12">
        <v>663</v>
      </c>
    </row>
    <row r="13" spans="1:6">
      <c r="A13">
        <v>1332</v>
      </c>
      <c r="B13" t="s">
        <v>68</v>
      </c>
      <c r="C13">
        <v>10100</v>
      </c>
      <c r="D13">
        <v>4</v>
      </c>
      <c r="E13">
        <v>324</v>
      </c>
      <c r="F13" t="s">
        <v>61</v>
      </c>
    </row>
    <row r="14" spans="1:6">
      <c r="A14">
        <v>1443</v>
      </c>
      <c r="B14" t="s">
        <v>69</v>
      </c>
      <c r="C14">
        <v>11112</v>
      </c>
      <c r="D14">
        <v>4</v>
      </c>
      <c r="E14">
        <v>697.6</v>
      </c>
    </row>
    <row r="15" spans="1:6">
      <c r="A15">
        <v>1554</v>
      </c>
      <c r="B15" t="s">
        <v>70</v>
      </c>
      <c r="C15">
        <v>22222</v>
      </c>
      <c r="D15">
        <v>6</v>
      </c>
      <c r="E15">
        <v>256</v>
      </c>
      <c r="F15" t="s">
        <v>58</v>
      </c>
    </row>
    <row r="16" spans="1:6">
      <c r="A16">
        <v>1665</v>
      </c>
      <c r="B16" t="s">
        <v>71</v>
      </c>
      <c r="C16">
        <v>10100</v>
      </c>
      <c r="D16">
        <v>8</v>
      </c>
      <c r="E16">
        <v>357</v>
      </c>
      <c r="F16" t="s">
        <v>55</v>
      </c>
    </row>
    <row r="17" spans="1:6">
      <c r="A17">
        <v>1776</v>
      </c>
      <c r="B17" t="s">
        <v>72</v>
      </c>
      <c r="C17">
        <v>11112</v>
      </c>
      <c r="D17">
        <v>9</v>
      </c>
      <c r="E17">
        <v>489</v>
      </c>
    </row>
    <row r="18" spans="1:6">
      <c r="A18">
        <v>1887</v>
      </c>
      <c r="B18" t="s">
        <v>73</v>
      </c>
      <c r="C18">
        <v>22222</v>
      </c>
      <c r="D18">
        <v>20</v>
      </c>
      <c r="E18">
        <v>421</v>
      </c>
      <c r="F18" t="s">
        <v>58</v>
      </c>
    </row>
    <row r="19" spans="1:6">
      <c r="A19">
        <v>1998</v>
      </c>
      <c r="B19" t="s">
        <v>74</v>
      </c>
      <c r="C19">
        <v>11111</v>
      </c>
      <c r="D19">
        <v>11</v>
      </c>
      <c r="E19">
        <v>389</v>
      </c>
    </row>
    <row r="20" spans="1:6">
      <c r="A20">
        <v>2109</v>
      </c>
      <c r="B20" t="s">
        <v>75</v>
      </c>
      <c r="C20">
        <v>22223</v>
      </c>
      <c r="D20">
        <v>5</v>
      </c>
      <c r="E20">
        <v>356.5</v>
      </c>
      <c r="F20" t="s">
        <v>61</v>
      </c>
    </row>
    <row r="21" spans="1:6">
      <c r="A21">
        <v>2220</v>
      </c>
      <c r="B21" t="s">
        <v>76</v>
      </c>
      <c r="C21">
        <v>22224</v>
      </c>
      <c r="D21">
        <v>3</v>
      </c>
      <c r="E21">
        <v>555</v>
      </c>
    </row>
    <row r="22" spans="1:6">
      <c r="A22">
        <v>2331</v>
      </c>
      <c r="B22" t="s">
        <v>77</v>
      </c>
      <c r="C22">
        <v>22225</v>
      </c>
      <c r="D22">
        <v>6</v>
      </c>
      <c r="E22">
        <v>368.4</v>
      </c>
      <c r="F22" t="s">
        <v>58</v>
      </c>
    </row>
    <row r="23" spans="1:6">
      <c r="A23">
        <v>2332</v>
      </c>
      <c r="B23" t="s">
        <v>78</v>
      </c>
      <c r="C23">
        <v>10010</v>
      </c>
      <c r="D23">
        <v>5</v>
      </c>
      <c r="E23">
        <v>333</v>
      </c>
      <c r="F23" t="s">
        <v>58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5" width="10" customWidth="1"/>
    <col min="6" max="6" width="11" customWidth="1"/>
    <col min="7" max="7" width="12" customWidth="1"/>
  </cols>
  <sheetData>
    <row r="1" spans="1:7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79</v>
      </c>
      <c r="G1" s="3" t="s">
        <v>80</v>
      </c>
    </row>
    <row r="2" spans="1:7">
      <c r="A2">
        <v>10010</v>
      </c>
      <c r="B2" t="s">
        <v>26</v>
      </c>
      <c r="C2" t="s">
        <v>27</v>
      </c>
      <c r="D2">
        <v>18</v>
      </c>
      <c r="E2" t="s">
        <v>28</v>
      </c>
      <c r="F2" t="s">
        <v>28</v>
      </c>
      <c r="G2" t="s">
        <v>81</v>
      </c>
    </row>
    <row r="3" spans="1:7">
      <c r="A3">
        <v>10086</v>
      </c>
      <c r="B3" t="s">
        <v>29</v>
      </c>
      <c r="C3" t="s">
        <v>30</v>
      </c>
      <c r="D3">
        <v>23</v>
      </c>
      <c r="E3" t="s">
        <v>31</v>
      </c>
      <c r="F3" t="s">
        <v>31</v>
      </c>
      <c r="G3" t="s">
        <v>30</v>
      </c>
    </row>
    <row r="4" spans="1:7">
      <c r="A4">
        <v>10100</v>
      </c>
      <c r="B4" t="s">
        <v>32</v>
      </c>
      <c r="C4" t="s">
        <v>33</v>
      </c>
      <c r="D4">
        <v>23</v>
      </c>
      <c r="E4" t="s">
        <v>34</v>
      </c>
      <c r="F4" t="s">
        <v>28</v>
      </c>
      <c r="G4" t="s">
        <v>33</v>
      </c>
    </row>
    <row r="5" spans="1:7">
      <c r="A5">
        <v>10111</v>
      </c>
      <c r="B5" t="s">
        <v>35</v>
      </c>
      <c r="C5" t="s">
        <v>36</v>
      </c>
      <c r="D5">
        <v>30</v>
      </c>
      <c r="E5" t="s">
        <v>34</v>
      </c>
      <c r="F5" t="s">
        <v>28</v>
      </c>
      <c r="G5" t="s">
        <v>33</v>
      </c>
    </row>
    <row r="6" spans="1:7">
      <c r="A6">
        <v>11111</v>
      </c>
      <c r="B6" t="s">
        <v>37</v>
      </c>
      <c r="C6" t="s">
        <v>38</v>
      </c>
      <c r="D6">
        <v>25</v>
      </c>
      <c r="E6" t="s">
        <v>34</v>
      </c>
      <c r="F6" t="s">
        <v>28</v>
      </c>
      <c r="G6" t="s">
        <v>38</v>
      </c>
    </row>
    <row r="7" spans="1:7">
      <c r="A7">
        <v>11112</v>
      </c>
      <c r="B7" t="s">
        <v>39</v>
      </c>
      <c r="C7" t="s">
        <v>40</v>
      </c>
      <c r="D7">
        <v>26</v>
      </c>
      <c r="E7" t="s">
        <v>31</v>
      </c>
      <c r="F7" t="s">
        <v>31</v>
      </c>
      <c r="G7" t="s">
        <v>82</v>
      </c>
    </row>
    <row r="8" spans="1:7">
      <c r="A8">
        <v>22222</v>
      </c>
      <c r="B8" t="s">
        <v>41</v>
      </c>
      <c r="C8" t="s">
        <v>42</v>
      </c>
      <c r="D8">
        <v>23</v>
      </c>
      <c r="E8" t="s">
        <v>43</v>
      </c>
      <c r="F8" t="s">
        <v>31</v>
      </c>
      <c r="G8" t="s">
        <v>42</v>
      </c>
    </row>
    <row r="9" spans="1:7">
      <c r="A9">
        <v>22223</v>
      </c>
      <c r="B9" t="s">
        <v>44</v>
      </c>
      <c r="C9" t="s">
        <v>45</v>
      </c>
      <c r="D9">
        <v>23</v>
      </c>
      <c r="E9" t="s">
        <v>43</v>
      </c>
      <c r="F9" t="s">
        <v>31</v>
      </c>
      <c r="G9" t="s">
        <v>30</v>
      </c>
    </row>
    <row r="10" spans="1:7">
      <c r="A10">
        <v>22224</v>
      </c>
      <c r="B10" t="s">
        <v>46</v>
      </c>
      <c r="C10" t="s">
        <v>47</v>
      </c>
      <c r="D10">
        <v>23</v>
      </c>
      <c r="E10" t="s">
        <v>43</v>
      </c>
      <c r="F10" t="s">
        <v>31</v>
      </c>
      <c r="G10" t="s">
        <v>42</v>
      </c>
    </row>
    <row r="11" spans="1:7">
      <c r="A11">
        <v>22225</v>
      </c>
      <c r="B11" t="s">
        <v>48</v>
      </c>
      <c r="C11" t="s">
        <v>27</v>
      </c>
      <c r="D11">
        <v>23</v>
      </c>
      <c r="E11" t="s">
        <v>43</v>
      </c>
      <c r="F11" t="s">
        <v>31</v>
      </c>
      <c r="G11" t="s">
        <v>81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21" customWidth="1"/>
    <col min="3" max="4" width="10" customWidth="1"/>
    <col min="5" max="5" width="12" customWidth="1"/>
    <col min="6" max="6" width="11" customWidth="1"/>
    <col min="7" max="7" width="20" customWidth="1"/>
    <col min="8" max="9" width="10" customWidth="1"/>
  </cols>
  <sheetData>
    <row r="1" spans="1:9">
      <c r="A1" s="3" t="s">
        <v>21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83</v>
      </c>
      <c r="H1" s="3" t="s">
        <v>84</v>
      </c>
      <c r="I1" s="3" t="s">
        <v>85</v>
      </c>
    </row>
    <row r="2" spans="1:9">
      <c r="A2">
        <v>111</v>
      </c>
      <c r="B2" s="4">
        <v>41254</v>
      </c>
      <c r="C2">
        <v>10086</v>
      </c>
      <c r="D2">
        <v>6</v>
      </c>
      <c r="E2">
        <v>90.2</v>
      </c>
      <c r="F2" t="s">
        <v>55</v>
      </c>
      <c r="G2">
        <v>541.20000000000005</v>
      </c>
      <c r="H2" t="s">
        <v>86</v>
      </c>
      <c r="I2">
        <v>2012</v>
      </c>
    </row>
    <row r="3" spans="1:9">
      <c r="A3">
        <v>222</v>
      </c>
      <c r="B3" s="4">
        <v>41317</v>
      </c>
      <c r="C3">
        <v>10010</v>
      </c>
      <c r="D3">
        <v>2</v>
      </c>
      <c r="E3">
        <v>80.5</v>
      </c>
      <c r="G3">
        <v>161</v>
      </c>
      <c r="H3" t="s">
        <v>86</v>
      </c>
      <c r="I3">
        <v>2013</v>
      </c>
    </row>
    <row r="4" spans="1:9">
      <c r="A4">
        <v>333</v>
      </c>
      <c r="B4" s="4">
        <v>41925</v>
      </c>
      <c r="C4">
        <v>10111</v>
      </c>
      <c r="D4">
        <v>3</v>
      </c>
      <c r="E4">
        <v>111</v>
      </c>
      <c r="F4" t="s">
        <v>58</v>
      </c>
      <c r="G4">
        <v>333</v>
      </c>
      <c r="H4" t="s">
        <v>87</v>
      </c>
      <c r="I4">
        <v>2014</v>
      </c>
    </row>
    <row r="5" spans="1:9">
      <c r="A5">
        <v>444</v>
      </c>
      <c r="B5" s="4">
        <v>42352</v>
      </c>
      <c r="C5">
        <v>10100</v>
      </c>
      <c r="D5">
        <v>2</v>
      </c>
      <c r="E5">
        <v>116</v>
      </c>
      <c r="G5">
        <v>232</v>
      </c>
      <c r="H5" t="s">
        <v>87</v>
      </c>
      <c r="I5">
        <v>2015</v>
      </c>
    </row>
    <row r="6" spans="1:9">
      <c r="A6">
        <v>555</v>
      </c>
      <c r="B6" s="4">
        <v>42566</v>
      </c>
      <c r="C6">
        <v>11112</v>
      </c>
      <c r="D6">
        <v>5</v>
      </c>
      <c r="E6">
        <v>111</v>
      </c>
      <c r="F6" t="s">
        <v>61</v>
      </c>
      <c r="G6">
        <v>555</v>
      </c>
      <c r="H6" t="s">
        <v>88</v>
      </c>
      <c r="I6">
        <v>2016</v>
      </c>
    </row>
    <row r="7" spans="1:9">
      <c r="A7">
        <v>666</v>
      </c>
      <c r="B7" s="4">
        <v>42994</v>
      </c>
      <c r="C7">
        <v>22222</v>
      </c>
      <c r="D7">
        <v>15</v>
      </c>
      <c r="E7">
        <v>689</v>
      </c>
      <c r="G7">
        <v>10335</v>
      </c>
      <c r="H7" t="s">
        <v>89</v>
      </c>
      <c r="I7">
        <v>2017</v>
      </c>
    </row>
    <row r="8" spans="1:9">
      <c r="A8">
        <v>777</v>
      </c>
      <c r="B8" s="4">
        <v>43390</v>
      </c>
      <c r="C8">
        <v>11111</v>
      </c>
      <c r="D8">
        <v>3</v>
      </c>
      <c r="E8">
        <v>111</v>
      </c>
      <c r="F8" t="s">
        <v>58</v>
      </c>
      <c r="G8">
        <v>333</v>
      </c>
      <c r="H8" t="s">
        <v>90</v>
      </c>
      <c r="I8">
        <v>2018</v>
      </c>
    </row>
    <row r="9" spans="1:9">
      <c r="A9">
        <v>888</v>
      </c>
      <c r="B9" s="4">
        <v>41200</v>
      </c>
      <c r="C9">
        <v>22223</v>
      </c>
      <c r="D9">
        <v>2</v>
      </c>
      <c r="E9">
        <v>90.2</v>
      </c>
      <c r="F9" t="s">
        <v>55</v>
      </c>
      <c r="G9">
        <v>180.4</v>
      </c>
      <c r="H9" t="s">
        <v>91</v>
      </c>
      <c r="I9">
        <v>2012</v>
      </c>
    </row>
    <row r="10" spans="1:9">
      <c r="A10">
        <v>999</v>
      </c>
      <c r="B10" s="4">
        <v>41566</v>
      </c>
      <c r="C10">
        <v>22224</v>
      </c>
      <c r="D10">
        <v>1</v>
      </c>
      <c r="E10">
        <v>80.5</v>
      </c>
      <c r="G10">
        <v>80.5</v>
      </c>
      <c r="H10" t="s">
        <v>89</v>
      </c>
      <c r="I10">
        <v>2013</v>
      </c>
    </row>
    <row r="11" spans="1:9">
      <c r="A11">
        <v>1110</v>
      </c>
      <c r="B11" s="4">
        <v>41932</v>
      </c>
      <c r="C11">
        <v>22225</v>
      </c>
      <c r="D11">
        <v>12</v>
      </c>
      <c r="E11">
        <v>789</v>
      </c>
      <c r="F11" t="s">
        <v>58</v>
      </c>
      <c r="G11">
        <v>9468</v>
      </c>
      <c r="H11" t="s">
        <v>87</v>
      </c>
      <c r="I11">
        <v>2014</v>
      </c>
    </row>
    <row r="12" spans="1:9">
      <c r="A12">
        <v>1221</v>
      </c>
      <c r="B12" s="4">
        <v>41933</v>
      </c>
      <c r="C12">
        <v>10111</v>
      </c>
      <c r="D12">
        <v>10</v>
      </c>
      <c r="E12">
        <v>663</v>
      </c>
      <c r="G12">
        <v>6630</v>
      </c>
      <c r="H12" t="s">
        <v>86</v>
      </c>
      <c r="I12">
        <v>2014</v>
      </c>
    </row>
    <row r="13" spans="1:9">
      <c r="A13">
        <v>1332</v>
      </c>
      <c r="B13" s="4">
        <v>41204</v>
      </c>
      <c r="C13">
        <v>10100</v>
      </c>
      <c r="D13">
        <v>4</v>
      </c>
      <c r="E13">
        <v>324</v>
      </c>
      <c r="F13" t="s">
        <v>61</v>
      </c>
      <c r="G13">
        <v>1296</v>
      </c>
      <c r="H13" t="s">
        <v>87</v>
      </c>
      <c r="I13">
        <v>2012</v>
      </c>
    </row>
    <row r="14" spans="1:9">
      <c r="A14">
        <v>1443</v>
      </c>
      <c r="B14" s="4">
        <v>41570</v>
      </c>
      <c r="C14">
        <v>11112</v>
      </c>
      <c r="D14">
        <v>4</v>
      </c>
      <c r="E14">
        <v>697.6</v>
      </c>
      <c r="G14">
        <v>2790.4</v>
      </c>
      <c r="H14" t="s">
        <v>90</v>
      </c>
      <c r="I14">
        <v>2013</v>
      </c>
    </row>
    <row r="15" spans="1:9">
      <c r="A15">
        <v>1554</v>
      </c>
      <c r="B15" s="4">
        <v>42301</v>
      </c>
      <c r="C15">
        <v>22222</v>
      </c>
      <c r="D15">
        <v>6</v>
      </c>
      <c r="E15">
        <v>256</v>
      </c>
      <c r="F15" t="s">
        <v>58</v>
      </c>
      <c r="G15">
        <v>1536</v>
      </c>
      <c r="H15" t="s">
        <v>89</v>
      </c>
      <c r="I15">
        <v>2015</v>
      </c>
    </row>
    <row r="16" spans="1:9">
      <c r="A16">
        <v>1665</v>
      </c>
      <c r="B16" s="4">
        <v>41572</v>
      </c>
      <c r="C16">
        <v>10100</v>
      </c>
      <c r="D16">
        <v>8</v>
      </c>
      <c r="E16">
        <v>357</v>
      </c>
      <c r="F16" t="s">
        <v>55</v>
      </c>
      <c r="G16">
        <v>2856</v>
      </c>
      <c r="H16" t="s">
        <v>88</v>
      </c>
      <c r="I16">
        <v>2013</v>
      </c>
    </row>
    <row r="17" spans="1:9">
      <c r="A17">
        <v>1776</v>
      </c>
      <c r="B17" s="4">
        <v>41938</v>
      </c>
      <c r="C17">
        <v>11112</v>
      </c>
      <c r="D17">
        <v>9</v>
      </c>
      <c r="E17">
        <v>489</v>
      </c>
      <c r="G17">
        <v>4401</v>
      </c>
      <c r="H17" t="s">
        <v>92</v>
      </c>
      <c r="I17">
        <v>2014</v>
      </c>
    </row>
    <row r="18" spans="1:9">
      <c r="A18">
        <v>1887</v>
      </c>
      <c r="B18" s="4">
        <v>42670</v>
      </c>
      <c r="C18">
        <v>22222</v>
      </c>
      <c r="D18">
        <v>20</v>
      </c>
      <c r="E18">
        <v>421</v>
      </c>
      <c r="F18" t="s">
        <v>58</v>
      </c>
      <c r="G18">
        <v>8420</v>
      </c>
      <c r="H18" t="s">
        <v>91</v>
      </c>
      <c r="I18">
        <v>2016</v>
      </c>
    </row>
    <row r="19" spans="1:9">
      <c r="A19">
        <v>1998</v>
      </c>
      <c r="B19" s="4">
        <v>43036</v>
      </c>
      <c r="C19">
        <v>11111</v>
      </c>
      <c r="D19">
        <v>11</v>
      </c>
      <c r="E19">
        <v>389</v>
      </c>
      <c r="G19">
        <v>4279</v>
      </c>
      <c r="H19" t="s">
        <v>89</v>
      </c>
      <c r="I19">
        <v>2017</v>
      </c>
    </row>
    <row r="20" spans="1:9">
      <c r="A20">
        <v>2109</v>
      </c>
      <c r="B20" s="4">
        <v>43402</v>
      </c>
      <c r="C20">
        <v>22223</v>
      </c>
      <c r="D20">
        <v>5</v>
      </c>
      <c r="E20">
        <v>356.5</v>
      </c>
      <c r="F20" t="s">
        <v>61</v>
      </c>
      <c r="G20">
        <v>1782.5</v>
      </c>
      <c r="H20" t="s">
        <v>87</v>
      </c>
      <c r="I20">
        <v>2018</v>
      </c>
    </row>
    <row r="21" spans="1:9">
      <c r="A21">
        <v>2220</v>
      </c>
      <c r="B21" s="4">
        <v>43403</v>
      </c>
      <c r="C21">
        <v>22224</v>
      </c>
      <c r="D21">
        <v>3</v>
      </c>
      <c r="E21">
        <v>555</v>
      </c>
      <c r="G21">
        <v>1665</v>
      </c>
      <c r="H21" t="s">
        <v>86</v>
      </c>
      <c r="I21">
        <v>2018</v>
      </c>
    </row>
    <row r="22" spans="1:9">
      <c r="A22">
        <v>2331</v>
      </c>
      <c r="B22" s="4">
        <v>42308</v>
      </c>
      <c r="C22">
        <v>22225</v>
      </c>
      <c r="D22">
        <v>6</v>
      </c>
      <c r="E22">
        <v>368.4</v>
      </c>
      <c r="F22" t="s">
        <v>58</v>
      </c>
      <c r="G22">
        <v>2210.4</v>
      </c>
      <c r="H22" t="s">
        <v>89</v>
      </c>
      <c r="I22">
        <v>2015</v>
      </c>
    </row>
    <row r="23" spans="1:9">
      <c r="A23">
        <v>2332</v>
      </c>
      <c r="B23" s="4">
        <v>43405</v>
      </c>
      <c r="C23">
        <v>10010</v>
      </c>
      <c r="D23">
        <v>5</v>
      </c>
      <c r="E23">
        <v>333</v>
      </c>
      <c r="F23" t="s">
        <v>58</v>
      </c>
      <c r="G23">
        <v>1665</v>
      </c>
      <c r="H23" t="s">
        <v>91</v>
      </c>
      <c r="I23">
        <v>2018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3"/>
  <sheetViews>
    <sheetView workbookViewId="0">
      <pane ySplit="1" topLeftCell="A2" activePane="bottomLeft" state="frozen"/>
      <selection pane="bottomLeft" sqref="A1:O23"/>
    </sheetView>
  </sheetViews>
  <sheetFormatPr baseColWidth="10" defaultColWidth="8.83203125" defaultRowHeight="14"/>
  <cols>
    <col min="1" max="1" width="10" customWidth="1"/>
    <col min="2" max="2" width="21" customWidth="1"/>
    <col min="3" max="4" width="10" customWidth="1"/>
    <col min="5" max="5" width="12" customWidth="1"/>
    <col min="6" max="6" width="11" customWidth="1"/>
    <col min="7" max="7" width="20" customWidth="1"/>
    <col min="8" max="13" width="10" customWidth="1"/>
    <col min="14" max="14" width="11" customWidth="1"/>
    <col min="15" max="15" width="12" customWidth="1"/>
  </cols>
  <sheetData>
    <row r="1" spans="1:15">
      <c r="A1" s="3" t="s">
        <v>93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83</v>
      </c>
      <c r="H1" s="3" t="s">
        <v>84</v>
      </c>
      <c r="I1" s="3" t="s">
        <v>85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79</v>
      </c>
      <c r="O1" s="3" t="s">
        <v>80</v>
      </c>
    </row>
    <row r="2" spans="1:15">
      <c r="A2">
        <v>111</v>
      </c>
      <c r="B2" s="4">
        <v>41254</v>
      </c>
      <c r="C2">
        <v>10086</v>
      </c>
      <c r="D2">
        <v>6</v>
      </c>
      <c r="E2">
        <v>90.2</v>
      </c>
      <c r="F2" t="s">
        <v>55</v>
      </c>
      <c r="G2">
        <v>541.20000000000005</v>
      </c>
      <c r="H2" t="s">
        <v>86</v>
      </c>
      <c r="I2">
        <v>2012</v>
      </c>
      <c r="J2" t="s">
        <v>29</v>
      </c>
      <c r="K2" t="s">
        <v>30</v>
      </c>
      <c r="L2">
        <v>23</v>
      </c>
      <c r="M2" t="s">
        <v>31</v>
      </c>
      <c r="N2" t="s">
        <v>31</v>
      </c>
      <c r="O2" t="s">
        <v>30</v>
      </c>
    </row>
    <row r="3" spans="1:15">
      <c r="A3">
        <v>222</v>
      </c>
      <c r="B3" s="4">
        <v>41317</v>
      </c>
      <c r="C3">
        <v>10010</v>
      </c>
      <c r="D3">
        <v>2</v>
      </c>
      <c r="E3">
        <v>80.5</v>
      </c>
      <c r="G3">
        <v>161</v>
      </c>
      <c r="H3" t="s">
        <v>86</v>
      </c>
      <c r="I3">
        <v>2013</v>
      </c>
      <c r="J3" t="s">
        <v>26</v>
      </c>
      <c r="K3" t="s">
        <v>27</v>
      </c>
      <c r="L3">
        <v>18</v>
      </c>
      <c r="M3" t="s">
        <v>28</v>
      </c>
      <c r="N3" t="s">
        <v>28</v>
      </c>
      <c r="O3" t="s">
        <v>81</v>
      </c>
    </row>
    <row r="4" spans="1:15">
      <c r="A4">
        <v>333</v>
      </c>
      <c r="B4" s="4">
        <v>41925</v>
      </c>
      <c r="C4">
        <v>10111</v>
      </c>
      <c r="D4">
        <v>3</v>
      </c>
      <c r="E4">
        <v>111</v>
      </c>
      <c r="F4" t="s">
        <v>58</v>
      </c>
      <c r="G4">
        <v>333</v>
      </c>
      <c r="H4" t="s">
        <v>87</v>
      </c>
      <c r="I4">
        <v>2014</v>
      </c>
      <c r="J4" t="s">
        <v>35</v>
      </c>
      <c r="K4" t="s">
        <v>36</v>
      </c>
      <c r="L4">
        <v>30</v>
      </c>
      <c r="M4" t="s">
        <v>34</v>
      </c>
      <c r="N4" t="s">
        <v>28</v>
      </c>
      <c r="O4" t="s">
        <v>33</v>
      </c>
    </row>
    <row r="5" spans="1:15">
      <c r="A5">
        <v>444</v>
      </c>
      <c r="B5" s="4">
        <v>42352</v>
      </c>
      <c r="C5">
        <v>10100</v>
      </c>
      <c r="D5">
        <v>2</v>
      </c>
      <c r="E5">
        <v>116</v>
      </c>
      <c r="G5">
        <v>232</v>
      </c>
      <c r="H5" t="s">
        <v>87</v>
      </c>
      <c r="I5">
        <v>2015</v>
      </c>
      <c r="J5" t="s">
        <v>32</v>
      </c>
      <c r="K5" t="s">
        <v>33</v>
      </c>
      <c r="L5">
        <v>23</v>
      </c>
      <c r="M5" t="s">
        <v>34</v>
      </c>
      <c r="N5" t="s">
        <v>28</v>
      </c>
      <c r="O5" t="s">
        <v>33</v>
      </c>
    </row>
    <row r="6" spans="1:15">
      <c r="A6">
        <v>555</v>
      </c>
      <c r="B6" s="4">
        <v>42566</v>
      </c>
      <c r="C6">
        <v>11112</v>
      </c>
      <c r="D6">
        <v>5</v>
      </c>
      <c r="E6">
        <v>111</v>
      </c>
      <c r="F6" t="s">
        <v>61</v>
      </c>
      <c r="G6">
        <v>555</v>
      </c>
      <c r="H6" t="s">
        <v>88</v>
      </c>
      <c r="I6">
        <v>2016</v>
      </c>
      <c r="J6" t="s">
        <v>39</v>
      </c>
      <c r="K6" t="s">
        <v>40</v>
      </c>
      <c r="L6">
        <v>26</v>
      </c>
      <c r="M6" t="s">
        <v>31</v>
      </c>
      <c r="N6" t="s">
        <v>31</v>
      </c>
      <c r="O6" t="s">
        <v>82</v>
      </c>
    </row>
    <row r="7" spans="1:15">
      <c r="A7">
        <v>666</v>
      </c>
      <c r="B7" s="4">
        <v>42994</v>
      </c>
      <c r="C7">
        <v>22222</v>
      </c>
      <c r="D7">
        <v>15</v>
      </c>
      <c r="E7">
        <v>689</v>
      </c>
      <c r="G7">
        <v>10335</v>
      </c>
      <c r="H7" t="s">
        <v>89</v>
      </c>
      <c r="I7">
        <v>2017</v>
      </c>
      <c r="J7" t="s">
        <v>41</v>
      </c>
      <c r="K7" t="s">
        <v>42</v>
      </c>
      <c r="L7">
        <v>23</v>
      </c>
      <c r="M7" t="s">
        <v>43</v>
      </c>
      <c r="N7" t="s">
        <v>31</v>
      </c>
      <c r="O7" t="s">
        <v>42</v>
      </c>
    </row>
    <row r="8" spans="1:15">
      <c r="A8">
        <v>777</v>
      </c>
      <c r="B8" s="4">
        <v>43390</v>
      </c>
      <c r="C8">
        <v>11111</v>
      </c>
      <c r="D8">
        <v>3</v>
      </c>
      <c r="E8">
        <v>111</v>
      </c>
      <c r="F8" t="s">
        <v>58</v>
      </c>
      <c r="G8">
        <v>333</v>
      </c>
      <c r="H8" t="s">
        <v>90</v>
      </c>
      <c r="I8">
        <v>2018</v>
      </c>
      <c r="J8" t="s">
        <v>37</v>
      </c>
      <c r="K8" t="s">
        <v>38</v>
      </c>
      <c r="L8">
        <v>25</v>
      </c>
      <c r="M8" t="s">
        <v>34</v>
      </c>
      <c r="N8" t="s">
        <v>28</v>
      </c>
      <c r="O8" t="s">
        <v>38</v>
      </c>
    </row>
    <row r="9" spans="1:15">
      <c r="A9">
        <v>888</v>
      </c>
      <c r="B9" s="4">
        <v>41200</v>
      </c>
      <c r="C9">
        <v>22223</v>
      </c>
      <c r="D9">
        <v>2</v>
      </c>
      <c r="E9">
        <v>90.2</v>
      </c>
      <c r="F9" t="s">
        <v>55</v>
      </c>
      <c r="G9">
        <v>180.4</v>
      </c>
      <c r="H9" t="s">
        <v>91</v>
      </c>
      <c r="I9">
        <v>2012</v>
      </c>
      <c r="J9" t="s">
        <v>44</v>
      </c>
      <c r="K9" t="s">
        <v>45</v>
      </c>
      <c r="L9">
        <v>23</v>
      </c>
      <c r="M9" t="s">
        <v>43</v>
      </c>
      <c r="N9" t="s">
        <v>31</v>
      </c>
      <c r="O9" t="s">
        <v>30</v>
      </c>
    </row>
    <row r="10" spans="1:15">
      <c r="A10">
        <v>999</v>
      </c>
      <c r="B10" s="4">
        <v>41566</v>
      </c>
      <c r="C10">
        <v>22224</v>
      </c>
      <c r="D10">
        <v>1</v>
      </c>
      <c r="E10">
        <v>80.5</v>
      </c>
      <c r="G10">
        <v>80.5</v>
      </c>
      <c r="H10" t="s">
        <v>89</v>
      </c>
      <c r="I10">
        <v>2013</v>
      </c>
      <c r="J10" t="s">
        <v>46</v>
      </c>
      <c r="K10" t="s">
        <v>47</v>
      </c>
      <c r="L10">
        <v>23</v>
      </c>
      <c r="M10" t="s">
        <v>43</v>
      </c>
      <c r="N10" t="s">
        <v>31</v>
      </c>
      <c r="O10" t="s">
        <v>42</v>
      </c>
    </row>
    <row r="11" spans="1:15">
      <c r="A11">
        <v>1110</v>
      </c>
      <c r="B11" s="4">
        <v>41932</v>
      </c>
      <c r="C11">
        <v>22225</v>
      </c>
      <c r="D11">
        <v>12</v>
      </c>
      <c r="E11">
        <v>789</v>
      </c>
      <c r="F11" t="s">
        <v>58</v>
      </c>
      <c r="G11">
        <v>9468</v>
      </c>
      <c r="H11" t="s">
        <v>87</v>
      </c>
      <c r="I11">
        <v>2014</v>
      </c>
      <c r="J11" t="s">
        <v>48</v>
      </c>
      <c r="K11" t="s">
        <v>27</v>
      </c>
      <c r="L11">
        <v>23</v>
      </c>
      <c r="M11" t="s">
        <v>43</v>
      </c>
      <c r="N11" t="s">
        <v>31</v>
      </c>
      <c r="O11" t="s">
        <v>81</v>
      </c>
    </row>
    <row r="12" spans="1:15">
      <c r="A12">
        <v>1221</v>
      </c>
      <c r="B12" s="4">
        <v>41933</v>
      </c>
      <c r="C12">
        <v>10111</v>
      </c>
      <c r="D12">
        <v>10</v>
      </c>
      <c r="E12">
        <v>663</v>
      </c>
      <c r="G12">
        <v>6630</v>
      </c>
      <c r="H12" t="s">
        <v>86</v>
      </c>
      <c r="I12">
        <v>2014</v>
      </c>
      <c r="J12" t="s">
        <v>35</v>
      </c>
      <c r="K12" t="s">
        <v>36</v>
      </c>
      <c r="L12">
        <v>30</v>
      </c>
      <c r="M12" t="s">
        <v>34</v>
      </c>
      <c r="N12" t="s">
        <v>28</v>
      </c>
      <c r="O12" t="s">
        <v>33</v>
      </c>
    </row>
    <row r="13" spans="1:15">
      <c r="A13">
        <v>1332</v>
      </c>
      <c r="B13" s="4">
        <v>41204</v>
      </c>
      <c r="C13">
        <v>10100</v>
      </c>
      <c r="D13">
        <v>4</v>
      </c>
      <c r="E13">
        <v>324</v>
      </c>
      <c r="F13" t="s">
        <v>61</v>
      </c>
      <c r="G13">
        <v>1296</v>
      </c>
      <c r="H13" t="s">
        <v>87</v>
      </c>
      <c r="I13">
        <v>2012</v>
      </c>
      <c r="J13" t="s">
        <v>32</v>
      </c>
      <c r="K13" t="s">
        <v>33</v>
      </c>
      <c r="L13">
        <v>23</v>
      </c>
      <c r="M13" t="s">
        <v>34</v>
      </c>
      <c r="N13" t="s">
        <v>28</v>
      </c>
      <c r="O13" t="s">
        <v>33</v>
      </c>
    </row>
    <row r="14" spans="1:15">
      <c r="A14">
        <v>1443</v>
      </c>
      <c r="B14" s="4">
        <v>41570</v>
      </c>
      <c r="C14">
        <v>11112</v>
      </c>
      <c r="D14">
        <v>4</v>
      </c>
      <c r="E14">
        <v>697.6</v>
      </c>
      <c r="G14">
        <v>2790.4</v>
      </c>
      <c r="H14" t="s">
        <v>90</v>
      </c>
      <c r="I14">
        <v>2013</v>
      </c>
      <c r="J14" t="s">
        <v>39</v>
      </c>
      <c r="K14" t="s">
        <v>40</v>
      </c>
      <c r="L14">
        <v>26</v>
      </c>
      <c r="M14" t="s">
        <v>31</v>
      </c>
      <c r="N14" t="s">
        <v>31</v>
      </c>
      <c r="O14" t="s">
        <v>82</v>
      </c>
    </row>
    <row r="15" spans="1:15">
      <c r="A15">
        <v>1554</v>
      </c>
      <c r="B15" s="4">
        <v>42301</v>
      </c>
      <c r="C15">
        <v>22222</v>
      </c>
      <c r="D15">
        <v>6</v>
      </c>
      <c r="E15">
        <v>256</v>
      </c>
      <c r="F15" t="s">
        <v>58</v>
      </c>
      <c r="G15">
        <v>1536</v>
      </c>
      <c r="H15" t="s">
        <v>89</v>
      </c>
      <c r="I15">
        <v>2015</v>
      </c>
      <c r="J15" t="s">
        <v>41</v>
      </c>
      <c r="K15" t="s">
        <v>42</v>
      </c>
      <c r="L15">
        <v>23</v>
      </c>
      <c r="M15" t="s">
        <v>43</v>
      </c>
      <c r="N15" t="s">
        <v>31</v>
      </c>
      <c r="O15" t="s">
        <v>42</v>
      </c>
    </row>
    <row r="16" spans="1:15">
      <c r="A16">
        <v>1665</v>
      </c>
      <c r="B16" s="4">
        <v>41572</v>
      </c>
      <c r="C16">
        <v>10100</v>
      </c>
      <c r="D16">
        <v>8</v>
      </c>
      <c r="E16">
        <v>357</v>
      </c>
      <c r="F16" t="s">
        <v>55</v>
      </c>
      <c r="G16">
        <v>2856</v>
      </c>
      <c r="H16" t="s">
        <v>88</v>
      </c>
      <c r="I16">
        <v>2013</v>
      </c>
      <c r="J16" t="s">
        <v>32</v>
      </c>
      <c r="K16" t="s">
        <v>33</v>
      </c>
      <c r="L16">
        <v>23</v>
      </c>
      <c r="M16" t="s">
        <v>34</v>
      </c>
      <c r="N16" t="s">
        <v>28</v>
      </c>
      <c r="O16" t="s">
        <v>33</v>
      </c>
    </row>
    <row r="17" spans="1:15">
      <c r="A17">
        <v>1776</v>
      </c>
      <c r="B17" s="4">
        <v>41938</v>
      </c>
      <c r="C17">
        <v>11112</v>
      </c>
      <c r="D17">
        <v>9</v>
      </c>
      <c r="E17">
        <v>489</v>
      </c>
      <c r="G17">
        <v>4401</v>
      </c>
      <c r="H17" t="s">
        <v>92</v>
      </c>
      <c r="I17">
        <v>2014</v>
      </c>
      <c r="J17" t="s">
        <v>39</v>
      </c>
      <c r="K17" t="s">
        <v>40</v>
      </c>
      <c r="L17">
        <v>26</v>
      </c>
      <c r="M17" t="s">
        <v>31</v>
      </c>
      <c r="N17" t="s">
        <v>31</v>
      </c>
      <c r="O17" t="s">
        <v>82</v>
      </c>
    </row>
    <row r="18" spans="1:15">
      <c r="A18">
        <v>1887</v>
      </c>
      <c r="B18" s="4">
        <v>42670</v>
      </c>
      <c r="C18">
        <v>22222</v>
      </c>
      <c r="D18">
        <v>20</v>
      </c>
      <c r="E18">
        <v>421</v>
      </c>
      <c r="F18" t="s">
        <v>58</v>
      </c>
      <c r="G18">
        <v>8420</v>
      </c>
      <c r="H18" t="s">
        <v>91</v>
      </c>
      <c r="I18">
        <v>2016</v>
      </c>
      <c r="J18" t="s">
        <v>41</v>
      </c>
      <c r="K18" t="s">
        <v>42</v>
      </c>
      <c r="L18">
        <v>23</v>
      </c>
      <c r="M18" t="s">
        <v>43</v>
      </c>
      <c r="N18" t="s">
        <v>31</v>
      </c>
      <c r="O18" t="s">
        <v>42</v>
      </c>
    </row>
    <row r="19" spans="1:15">
      <c r="A19">
        <v>1998</v>
      </c>
      <c r="B19" s="4">
        <v>43036</v>
      </c>
      <c r="C19">
        <v>11111</v>
      </c>
      <c r="D19">
        <v>11</v>
      </c>
      <c r="E19">
        <v>389</v>
      </c>
      <c r="G19">
        <v>4279</v>
      </c>
      <c r="H19" t="s">
        <v>89</v>
      </c>
      <c r="I19">
        <v>2017</v>
      </c>
      <c r="J19" t="s">
        <v>37</v>
      </c>
      <c r="K19" t="s">
        <v>38</v>
      </c>
      <c r="L19">
        <v>25</v>
      </c>
      <c r="M19" t="s">
        <v>34</v>
      </c>
      <c r="N19" t="s">
        <v>28</v>
      </c>
      <c r="O19" t="s">
        <v>38</v>
      </c>
    </row>
    <row r="20" spans="1:15">
      <c r="A20">
        <v>2109</v>
      </c>
      <c r="B20" s="4">
        <v>43402</v>
      </c>
      <c r="C20">
        <v>22223</v>
      </c>
      <c r="D20">
        <v>5</v>
      </c>
      <c r="E20">
        <v>356.5</v>
      </c>
      <c r="F20" t="s">
        <v>61</v>
      </c>
      <c r="G20">
        <v>1782.5</v>
      </c>
      <c r="H20" t="s">
        <v>87</v>
      </c>
      <c r="I20">
        <v>2018</v>
      </c>
      <c r="J20" t="s">
        <v>44</v>
      </c>
      <c r="K20" t="s">
        <v>45</v>
      </c>
      <c r="L20">
        <v>23</v>
      </c>
      <c r="M20" t="s">
        <v>43</v>
      </c>
      <c r="N20" t="s">
        <v>31</v>
      </c>
      <c r="O20" t="s">
        <v>30</v>
      </c>
    </row>
    <row r="21" spans="1:15">
      <c r="A21">
        <v>2220</v>
      </c>
      <c r="B21" s="4">
        <v>43403</v>
      </c>
      <c r="C21">
        <v>22224</v>
      </c>
      <c r="D21">
        <v>3</v>
      </c>
      <c r="E21">
        <v>555</v>
      </c>
      <c r="G21">
        <v>1665</v>
      </c>
      <c r="H21" t="s">
        <v>86</v>
      </c>
      <c r="I21">
        <v>2018</v>
      </c>
      <c r="J21" t="s">
        <v>46</v>
      </c>
      <c r="K21" t="s">
        <v>47</v>
      </c>
      <c r="L21">
        <v>23</v>
      </c>
      <c r="M21" t="s">
        <v>43</v>
      </c>
      <c r="N21" t="s">
        <v>31</v>
      </c>
      <c r="O21" t="s">
        <v>42</v>
      </c>
    </row>
    <row r="22" spans="1:15">
      <c r="A22">
        <v>2331</v>
      </c>
      <c r="B22" s="4">
        <v>42308</v>
      </c>
      <c r="C22">
        <v>22225</v>
      </c>
      <c r="D22">
        <v>6</v>
      </c>
      <c r="E22">
        <v>368.4</v>
      </c>
      <c r="F22" t="s">
        <v>58</v>
      </c>
      <c r="G22">
        <v>2210.4</v>
      </c>
      <c r="H22" t="s">
        <v>89</v>
      </c>
      <c r="I22">
        <v>2015</v>
      </c>
      <c r="J22" t="s">
        <v>48</v>
      </c>
      <c r="K22" t="s">
        <v>27</v>
      </c>
      <c r="L22">
        <v>23</v>
      </c>
      <c r="M22" t="s">
        <v>43</v>
      </c>
      <c r="N22" t="s">
        <v>31</v>
      </c>
      <c r="O22" t="s">
        <v>81</v>
      </c>
    </row>
    <row r="23" spans="1:15">
      <c r="A23">
        <v>2332</v>
      </c>
      <c r="B23" s="4">
        <v>43405</v>
      </c>
      <c r="C23">
        <v>10010</v>
      </c>
      <c r="D23">
        <v>5</v>
      </c>
      <c r="E23">
        <v>333</v>
      </c>
      <c r="F23" t="s">
        <v>58</v>
      </c>
      <c r="G23">
        <v>1665</v>
      </c>
      <c r="H23" t="s">
        <v>91</v>
      </c>
      <c r="I23">
        <v>2018</v>
      </c>
      <c r="J23" t="s">
        <v>26</v>
      </c>
      <c r="K23" t="s">
        <v>27</v>
      </c>
      <c r="L23">
        <v>18</v>
      </c>
      <c r="M23" t="s">
        <v>28</v>
      </c>
      <c r="N23" t="s">
        <v>28</v>
      </c>
      <c r="O23" t="s">
        <v>81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0" customWidth="1"/>
  </cols>
  <sheetData>
    <row r="1" spans="1:2">
      <c r="A1" s="3" t="s">
        <v>94</v>
      </c>
      <c r="B1" s="3" t="s">
        <v>95</v>
      </c>
    </row>
    <row r="2" spans="1:2">
      <c r="A2" t="s">
        <v>87</v>
      </c>
      <c r="B2">
        <v>13111.5</v>
      </c>
    </row>
    <row r="3" spans="1:2">
      <c r="A3" t="s">
        <v>86</v>
      </c>
      <c r="B3">
        <v>8997.2000000000007</v>
      </c>
    </row>
    <row r="4" spans="1:2">
      <c r="A4" t="s">
        <v>90</v>
      </c>
      <c r="B4">
        <v>3123.4</v>
      </c>
    </row>
    <row r="5" spans="1:2">
      <c r="A5" t="s">
        <v>91</v>
      </c>
      <c r="B5">
        <v>10265.4</v>
      </c>
    </row>
    <row r="6" spans="1:2">
      <c r="A6" t="s">
        <v>88</v>
      </c>
      <c r="B6">
        <v>3411</v>
      </c>
    </row>
    <row r="7" spans="1:2">
      <c r="A7" t="s">
        <v>89</v>
      </c>
      <c r="B7">
        <v>18440.900000000001</v>
      </c>
    </row>
    <row r="8" spans="1:2">
      <c r="A8" t="s">
        <v>92</v>
      </c>
      <c r="B8">
        <v>4401</v>
      </c>
    </row>
    <row r="9" spans="1:2">
      <c r="A9" t="s">
        <v>96</v>
      </c>
      <c r="B9" t="s">
        <v>95</v>
      </c>
    </row>
    <row r="10" spans="1:2">
      <c r="A10" t="s">
        <v>28</v>
      </c>
      <c r="B10">
        <v>17785</v>
      </c>
    </row>
    <row r="11" spans="1:2">
      <c r="A11" t="s">
        <v>31</v>
      </c>
      <c r="B11">
        <v>43965.4</v>
      </c>
    </row>
    <row r="12" spans="1:2">
      <c r="A12" t="s">
        <v>97</v>
      </c>
      <c r="B12" t="s">
        <v>95</v>
      </c>
    </row>
    <row r="13" spans="1:2">
      <c r="A13" t="s">
        <v>42</v>
      </c>
      <c r="B13">
        <v>22036.5</v>
      </c>
    </row>
    <row r="14" spans="1:2">
      <c r="A14" t="s">
        <v>81</v>
      </c>
      <c r="B14">
        <v>13504.4</v>
      </c>
    </row>
    <row r="15" spans="1:2">
      <c r="A15" t="s">
        <v>33</v>
      </c>
      <c r="B15">
        <v>11347</v>
      </c>
    </row>
    <row r="16" spans="1:2">
      <c r="A16" t="s">
        <v>82</v>
      </c>
      <c r="B16">
        <v>7746.4</v>
      </c>
    </row>
    <row r="17" spans="1:2">
      <c r="A17" t="s">
        <v>38</v>
      </c>
      <c r="B17">
        <v>4612</v>
      </c>
    </row>
    <row r="18" spans="1:2">
      <c r="A18" t="s">
        <v>30</v>
      </c>
      <c r="B18">
        <v>2504.1</v>
      </c>
    </row>
    <row r="19" spans="1:2">
      <c r="A19" t="s">
        <v>98</v>
      </c>
      <c r="B19" t="s">
        <v>95</v>
      </c>
    </row>
    <row r="20" spans="1:2">
      <c r="A20" t="s">
        <v>41</v>
      </c>
      <c r="B20">
        <v>20291</v>
      </c>
    </row>
    <row r="21" spans="1:2">
      <c r="A21" t="s">
        <v>48</v>
      </c>
      <c r="B21">
        <v>11678.4</v>
      </c>
    </row>
    <row r="22" spans="1:2">
      <c r="A22" t="s">
        <v>39</v>
      </c>
      <c r="B22">
        <v>7746.4</v>
      </c>
    </row>
    <row r="23" spans="1:2">
      <c r="A23" t="s">
        <v>35</v>
      </c>
      <c r="B23">
        <v>6963</v>
      </c>
    </row>
    <row r="24" spans="1:2">
      <c r="A24" t="s">
        <v>37</v>
      </c>
      <c r="B24">
        <v>4612</v>
      </c>
    </row>
    <row r="25" spans="1:2">
      <c r="A25" t="s">
        <v>32</v>
      </c>
      <c r="B25">
        <v>4384</v>
      </c>
    </row>
    <row r="26" spans="1:2">
      <c r="A26" t="s">
        <v>44</v>
      </c>
      <c r="B26">
        <v>1962.9</v>
      </c>
    </row>
    <row r="27" spans="1:2">
      <c r="A27" t="s">
        <v>26</v>
      </c>
      <c r="B27">
        <v>1826</v>
      </c>
    </row>
    <row r="28" spans="1:2">
      <c r="A28" t="s">
        <v>46</v>
      </c>
      <c r="B28">
        <v>1745.5</v>
      </c>
    </row>
    <row r="29" spans="1:2">
      <c r="A29" t="s">
        <v>29</v>
      </c>
      <c r="B29">
        <v>541.20000000000005</v>
      </c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RESULT</vt:lpstr>
      <vt:lpstr>users</vt:lpstr>
      <vt:lpstr>order_deatil</vt:lpstr>
      <vt:lpstr>users_clean</vt:lpstr>
      <vt:lpstr>order_detail_clean</vt:lpstr>
      <vt:lpstr>order_user_detail</vt:lpstr>
      <vt:lpstr>pivot_reference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c5090</cp:lastModifiedBy>
  <dcterms:created xsi:type="dcterms:W3CDTF">2026-06-05T07:43:27Z</dcterms:created>
  <dcterms:modified xsi:type="dcterms:W3CDTF">2026-06-06T01:53:51Z</dcterms:modified>
</cp:coreProperties>
</file>